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GitHub\-Effects-of-Mixed-Wood-Biochar-on-Fertilizer-Use-Efficiency-and-Growth-Performance-of-Okra\data\raw\"/>
    </mc:Choice>
  </mc:AlternateContent>
  <xr:revisionPtr revIDLastSave="0" documentId="13_ncr:1_{75C3284A-F547-4B06-B754-C57F5013F537}" xr6:coauthVersionLast="47" xr6:coauthVersionMax="47" xr10:uidLastSave="{00000000-0000-0000-0000-000000000000}"/>
  <bookViews>
    <workbookView xWindow="-110" yWindow="-110" windowWidth="19420" windowHeight="10300" tabRatio="861" activeTab="6" xr2:uid="{AA095818-A5E7-4844-AF07-510536A3E191}"/>
  </bookViews>
  <sheets>
    <sheet name="Plant Height" sheetId="3" r:id="rId1"/>
    <sheet name="Dry shoot weight" sheetId="5" r:id="rId2"/>
    <sheet name="Fresh Shoot Weight" sheetId="4" r:id="rId3"/>
    <sheet name="Root Fresh weight" sheetId="7" r:id="rId4"/>
    <sheet name="Root Dry weight" sheetId="8" r:id="rId5"/>
    <sheet name="Pod Fresh weight" sheetId="9" r:id="rId6"/>
    <sheet name="Pod Dry weight " sheetId="10" r:id="rId7"/>
    <sheet name="Pods per Plant" sheetId="11" r:id="rId8"/>
    <sheet name="No. of grains per pod" sheetId="12" r:id="rId9"/>
    <sheet name="Pod Lenght" sheetId="13" r:id="rId10"/>
    <sheet name="Grain K %" sheetId="14" r:id="rId11"/>
    <sheet name="Plant K %" sheetId="15" r:id="rId12"/>
    <sheet name="Plant N %" sheetId="16" r:id="rId13"/>
    <sheet name="Grain N %" sheetId="17" r:id="rId14"/>
    <sheet name="Plant P %" sheetId="18" r:id="rId15"/>
    <sheet name="Grain P %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9" l="1"/>
  <c r="J11" i="19"/>
  <c r="J12" i="19"/>
  <c r="J13" i="19"/>
  <c r="E14" i="19"/>
  <c r="K13" i="19" s="1"/>
  <c r="D14" i="19"/>
  <c r="K11" i="19"/>
  <c r="E11" i="19"/>
  <c r="K12" i="19" s="1"/>
  <c r="D11" i="19"/>
  <c r="K10" i="19"/>
  <c r="K9" i="19"/>
  <c r="E8" i="19"/>
  <c r="F8" i="19" s="1"/>
  <c r="D8" i="19"/>
  <c r="E5" i="19"/>
  <c r="F5" i="19" s="1"/>
  <c r="D5" i="19"/>
  <c r="E2" i="19"/>
  <c r="F2" i="19" s="1"/>
  <c r="D2" i="19"/>
  <c r="J9" i="19" s="1"/>
  <c r="E14" i="18"/>
  <c r="F14" i="18" s="1"/>
  <c r="D14" i="18"/>
  <c r="J13" i="18"/>
  <c r="K11" i="18"/>
  <c r="J11" i="18"/>
  <c r="E11" i="18"/>
  <c r="K12" i="18" s="1"/>
  <c r="D11" i="18"/>
  <c r="J12" i="18" s="1"/>
  <c r="E8" i="18"/>
  <c r="F8" i="18" s="1"/>
  <c r="D8" i="18"/>
  <c r="E5" i="18"/>
  <c r="K10" i="18" s="1"/>
  <c r="D5" i="18"/>
  <c r="J10" i="18" s="1"/>
  <c r="E2" i="18"/>
  <c r="F2" i="18" s="1"/>
  <c r="D2" i="18"/>
  <c r="J9" i="18" s="1"/>
  <c r="E14" i="17"/>
  <c r="K13" i="17" s="1"/>
  <c r="D14" i="17"/>
  <c r="J13" i="17"/>
  <c r="K11" i="17"/>
  <c r="J11" i="17"/>
  <c r="E11" i="17"/>
  <c r="K12" i="17" s="1"/>
  <c r="D11" i="17"/>
  <c r="J12" i="17" s="1"/>
  <c r="K10" i="17"/>
  <c r="J10" i="17"/>
  <c r="E8" i="17"/>
  <c r="F8" i="17" s="1"/>
  <c r="D8" i="17"/>
  <c r="E5" i="17"/>
  <c r="F5" i="17" s="1"/>
  <c r="D5" i="17"/>
  <c r="E2" i="17"/>
  <c r="K9" i="17" s="1"/>
  <c r="D2" i="17"/>
  <c r="J9" i="17" s="1"/>
  <c r="E14" i="16"/>
  <c r="K13" i="16" s="1"/>
  <c r="D14" i="16"/>
  <c r="J13" i="16"/>
  <c r="K11" i="16"/>
  <c r="J11" i="16"/>
  <c r="E11" i="16"/>
  <c r="K12" i="16" s="1"/>
  <c r="D11" i="16"/>
  <c r="J12" i="16" s="1"/>
  <c r="K10" i="16"/>
  <c r="J10" i="16"/>
  <c r="E8" i="16"/>
  <c r="F8" i="16" s="1"/>
  <c r="D8" i="16"/>
  <c r="E5" i="16"/>
  <c r="F5" i="16" s="1"/>
  <c r="D5" i="16"/>
  <c r="E2" i="16"/>
  <c r="K9" i="16" s="1"/>
  <c r="D2" i="16"/>
  <c r="J9" i="16" s="1"/>
  <c r="E14" i="15"/>
  <c r="K13" i="15" s="1"/>
  <c r="D14" i="15"/>
  <c r="J13" i="15" s="1"/>
  <c r="K11" i="15"/>
  <c r="J11" i="15"/>
  <c r="E11" i="15"/>
  <c r="K12" i="15" s="1"/>
  <c r="D11" i="15"/>
  <c r="J12" i="15" s="1"/>
  <c r="K10" i="15"/>
  <c r="J10" i="15"/>
  <c r="K9" i="15"/>
  <c r="E8" i="15"/>
  <c r="F8" i="15" s="1"/>
  <c r="D8" i="15"/>
  <c r="E5" i="15"/>
  <c r="F5" i="15" s="1"/>
  <c r="D5" i="15"/>
  <c r="E2" i="15"/>
  <c r="F2" i="15" s="1"/>
  <c r="D2" i="15"/>
  <c r="J9" i="15" s="1"/>
  <c r="E14" i="14"/>
  <c r="F14" i="14" s="1"/>
  <c r="D14" i="14"/>
  <c r="K13" i="14"/>
  <c r="J13" i="14"/>
  <c r="K11" i="14"/>
  <c r="J11" i="14"/>
  <c r="E11" i="14"/>
  <c r="K12" i="14" s="1"/>
  <c r="D11" i="14"/>
  <c r="J12" i="14" s="1"/>
  <c r="J9" i="14"/>
  <c r="E8" i="14"/>
  <c r="F8" i="14" s="1"/>
  <c r="D8" i="14"/>
  <c r="E5" i="14"/>
  <c r="K10" i="14" s="1"/>
  <c r="D5" i="14"/>
  <c r="J10" i="14" s="1"/>
  <c r="E2" i="14"/>
  <c r="K9" i="14" s="1"/>
  <c r="D2" i="14"/>
  <c r="E14" i="13"/>
  <c r="F14" i="13" s="1"/>
  <c r="D14" i="13"/>
  <c r="K13" i="13"/>
  <c r="J13" i="13"/>
  <c r="K11" i="13"/>
  <c r="E11" i="13"/>
  <c r="F11" i="13" s="1"/>
  <c r="D11" i="13"/>
  <c r="J12" i="13" s="1"/>
  <c r="J9" i="13"/>
  <c r="E8" i="13"/>
  <c r="F8" i="13" s="1"/>
  <c r="D8" i="13"/>
  <c r="J11" i="13" s="1"/>
  <c r="E5" i="13"/>
  <c r="K10" i="13" s="1"/>
  <c r="D5" i="13"/>
  <c r="J10" i="13" s="1"/>
  <c r="E2" i="13"/>
  <c r="F2" i="13" s="1"/>
  <c r="D2" i="13"/>
  <c r="F14" i="12"/>
  <c r="E14" i="12"/>
  <c r="D14" i="12"/>
  <c r="K13" i="12"/>
  <c r="J13" i="12"/>
  <c r="K11" i="12"/>
  <c r="J11" i="12"/>
  <c r="E11" i="12"/>
  <c r="K12" i="12" s="1"/>
  <c r="D11" i="12"/>
  <c r="J12" i="12" s="1"/>
  <c r="K10" i="12"/>
  <c r="E8" i="12"/>
  <c r="F8" i="12" s="1"/>
  <c r="D8" i="12"/>
  <c r="E5" i="12"/>
  <c r="F5" i="12" s="1"/>
  <c r="D5" i="12"/>
  <c r="J10" i="12" s="1"/>
  <c r="E2" i="12"/>
  <c r="F2" i="12" s="1"/>
  <c r="D2" i="12"/>
  <c r="J9" i="12" s="1"/>
  <c r="E14" i="11"/>
  <c r="F14" i="11" s="1"/>
  <c r="D14" i="11"/>
  <c r="K13" i="11"/>
  <c r="J13" i="11"/>
  <c r="K11" i="11"/>
  <c r="J11" i="11"/>
  <c r="E11" i="11"/>
  <c r="K12" i="11" s="1"/>
  <c r="D11" i="11"/>
  <c r="J12" i="11" s="1"/>
  <c r="J9" i="11"/>
  <c r="E8" i="11"/>
  <c r="F8" i="11" s="1"/>
  <c r="D8" i="11"/>
  <c r="E5" i="11"/>
  <c r="K10" i="11" s="1"/>
  <c r="D5" i="11"/>
  <c r="J10" i="11" s="1"/>
  <c r="E2" i="11"/>
  <c r="K9" i="11" s="1"/>
  <c r="D2" i="11"/>
  <c r="E14" i="10"/>
  <c r="F14" i="10" s="1"/>
  <c r="D14" i="10"/>
  <c r="K13" i="10"/>
  <c r="J13" i="10"/>
  <c r="K11" i="10"/>
  <c r="J11" i="10"/>
  <c r="E11" i="10"/>
  <c r="F11" i="10" s="1"/>
  <c r="D11" i="10"/>
  <c r="J12" i="10" s="1"/>
  <c r="J9" i="10"/>
  <c r="E8" i="10"/>
  <c r="F8" i="10" s="1"/>
  <c r="D8" i="10"/>
  <c r="E5" i="10"/>
  <c r="K10" i="10" s="1"/>
  <c r="D5" i="10"/>
  <c r="J10" i="10" s="1"/>
  <c r="E2" i="10"/>
  <c r="K9" i="10" s="1"/>
  <c r="D2" i="10"/>
  <c r="E14" i="9"/>
  <c r="F14" i="9" s="1"/>
  <c r="D14" i="9"/>
  <c r="K13" i="9"/>
  <c r="J13" i="9"/>
  <c r="J11" i="9"/>
  <c r="E11" i="9"/>
  <c r="K12" i="9" s="1"/>
  <c r="D11" i="9"/>
  <c r="J12" i="9" s="1"/>
  <c r="J9" i="9"/>
  <c r="E8" i="9"/>
  <c r="K11" i="9" s="1"/>
  <c r="D8" i="9"/>
  <c r="E5" i="9"/>
  <c r="K10" i="9" s="1"/>
  <c r="D5" i="9"/>
  <c r="J10" i="9" s="1"/>
  <c r="E2" i="9"/>
  <c r="F2" i="9" s="1"/>
  <c r="D2" i="9"/>
  <c r="E14" i="8"/>
  <c r="F14" i="8" s="1"/>
  <c r="D14" i="8"/>
  <c r="K13" i="8"/>
  <c r="J13" i="8"/>
  <c r="K11" i="8"/>
  <c r="J11" i="8"/>
  <c r="E11" i="8"/>
  <c r="K12" i="8" s="1"/>
  <c r="D11" i="8"/>
  <c r="J12" i="8" s="1"/>
  <c r="J9" i="8"/>
  <c r="E8" i="8"/>
  <c r="F8" i="8" s="1"/>
  <c r="D8" i="8"/>
  <c r="E5" i="8"/>
  <c r="K10" i="8" s="1"/>
  <c r="D5" i="8"/>
  <c r="J10" i="8" s="1"/>
  <c r="E2" i="8"/>
  <c r="K9" i="8" s="1"/>
  <c r="D2" i="8"/>
  <c r="E14" i="7"/>
  <c r="F14" i="7" s="1"/>
  <c r="D14" i="7"/>
  <c r="J13" i="7" s="1"/>
  <c r="E11" i="7"/>
  <c r="F11" i="7" s="1"/>
  <c r="D11" i="7"/>
  <c r="J12" i="7" s="1"/>
  <c r="E8" i="7"/>
  <c r="K11" i="7" s="1"/>
  <c r="D8" i="7"/>
  <c r="J11" i="7" s="1"/>
  <c r="E5" i="7"/>
  <c r="K10" i="7" s="1"/>
  <c r="D5" i="7"/>
  <c r="J10" i="7" s="1"/>
  <c r="E2" i="7"/>
  <c r="K9" i="7" s="1"/>
  <c r="D2" i="7"/>
  <c r="J9" i="7" s="1"/>
  <c r="F14" i="19" l="1"/>
  <c r="F11" i="19"/>
  <c r="F11" i="18"/>
  <c r="F5" i="18"/>
  <c r="K13" i="18"/>
  <c r="K9" i="18"/>
  <c r="F14" i="17"/>
  <c r="F2" i="17"/>
  <c r="F11" i="17"/>
  <c r="F14" i="16"/>
  <c r="F2" i="16"/>
  <c r="F11" i="16"/>
  <c r="F14" i="15"/>
  <c r="F11" i="15"/>
  <c r="F2" i="14"/>
  <c r="F11" i="14"/>
  <c r="F5" i="14"/>
  <c r="K12" i="13"/>
  <c r="F5" i="13"/>
  <c r="K9" i="13"/>
  <c r="K9" i="12"/>
  <c r="F11" i="12"/>
  <c r="F2" i="11"/>
  <c r="F11" i="11"/>
  <c r="F5" i="11"/>
  <c r="F2" i="10"/>
  <c r="F5" i="10"/>
  <c r="K12" i="10"/>
  <c r="F11" i="9"/>
  <c r="F8" i="9"/>
  <c r="F5" i="9"/>
  <c r="K9" i="9"/>
  <c r="F5" i="8"/>
  <c r="F2" i="8"/>
  <c r="F11" i="8"/>
  <c r="F8" i="7"/>
  <c r="F2" i="7"/>
  <c r="K12" i="7"/>
  <c r="K13" i="7"/>
  <c r="F5" i="7"/>
  <c r="E14" i="5" l="1"/>
  <c r="F14" i="5" s="1"/>
  <c r="D14" i="5"/>
  <c r="J13" i="5" s="1"/>
  <c r="K11" i="5"/>
  <c r="J11" i="5"/>
  <c r="E11" i="5"/>
  <c r="K12" i="5" s="1"/>
  <c r="D11" i="5"/>
  <c r="J12" i="5" s="1"/>
  <c r="E8" i="5"/>
  <c r="F8" i="5" s="1"/>
  <c r="D8" i="5"/>
  <c r="E5" i="5"/>
  <c r="K10" i="5" s="1"/>
  <c r="D5" i="5"/>
  <c r="J10" i="5" s="1"/>
  <c r="E2" i="5"/>
  <c r="K9" i="5" s="1"/>
  <c r="D2" i="5"/>
  <c r="J9" i="5" s="1"/>
  <c r="E14" i="4"/>
  <c r="F14" i="4" s="1"/>
  <c r="D14" i="4"/>
  <c r="K13" i="4"/>
  <c r="J13" i="4"/>
  <c r="K11" i="4"/>
  <c r="J11" i="4"/>
  <c r="E11" i="4"/>
  <c r="F11" i="4" s="1"/>
  <c r="D11" i="4"/>
  <c r="J12" i="4" s="1"/>
  <c r="J9" i="4"/>
  <c r="E8" i="4"/>
  <c r="F8" i="4" s="1"/>
  <c r="D8" i="4"/>
  <c r="E5" i="4"/>
  <c r="K10" i="4" s="1"/>
  <c r="D5" i="4"/>
  <c r="J10" i="4" s="1"/>
  <c r="E2" i="4"/>
  <c r="K9" i="4" s="1"/>
  <c r="D2" i="4"/>
  <c r="E14" i="3"/>
  <c r="F14" i="3" s="1"/>
  <c r="D14" i="3"/>
  <c r="J13" i="3" s="1"/>
  <c r="K13" i="3"/>
  <c r="K11" i="3"/>
  <c r="E11" i="3"/>
  <c r="K12" i="3" s="1"/>
  <c r="D11" i="3"/>
  <c r="J12" i="3" s="1"/>
  <c r="J9" i="3"/>
  <c r="E8" i="3"/>
  <c r="F8" i="3" s="1"/>
  <c r="D8" i="3"/>
  <c r="J11" i="3" s="1"/>
  <c r="F5" i="3"/>
  <c r="E5" i="3"/>
  <c r="K10" i="3" s="1"/>
  <c r="D5" i="3"/>
  <c r="J10" i="3" s="1"/>
  <c r="E2" i="3"/>
  <c r="K9" i="3" s="1"/>
  <c r="D2" i="3"/>
  <c r="F2" i="5" l="1"/>
  <c r="F11" i="5"/>
  <c r="K13" i="5"/>
  <c r="F5" i="5"/>
  <c r="K12" i="4"/>
  <c r="F2" i="4"/>
  <c r="F5" i="4"/>
  <c r="F11" i="3"/>
  <c r="F2" i="3"/>
</calcChain>
</file>

<file path=xl/sharedStrings.xml><?xml version="1.0" encoding="utf-8"?>
<sst xmlns="http://schemas.openxmlformats.org/spreadsheetml/2006/main" count="209" uniqueCount="35">
  <si>
    <t>Treatments</t>
  </si>
  <si>
    <t>Replications</t>
  </si>
  <si>
    <t>PlantHeight</t>
  </si>
  <si>
    <t>STDEV</t>
  </si>
  <si>
    <t>Average/Mean</t>
  </si>
  <si>
    <t>SE</t>
  </si>
  <si>
    <t>Control</t>
  </si>
  <si>
    <t>Plant Height</t>
  </si>
  <si>
    <t/>
  </si>
  <si>
    <t>T 1</t>
  </si>
  <si>
    <t>T 2</t>
  </si>
  <si>
    <t>T 3</t>
  </si>
  <si>
    <t>T 4</t>
  </si>
  <si>
    <t>0.25</t>
  </si>
  <si>
    <t>PlaDry shoot weight (g/pot)</t>
  </si>
  <si>
    <t xml:space="preserve">Fresh shoot weight (g/pot)				</t>
  </si>
  <si>
    <t>Root Fresh weight (g/pot)</t>
  </si>
  <si>
    <t>Root Dry weight (g/pot)</t>
  </si>
  <si>
    <t>Pod Fresh weight (g/pot)</t>
  </si>
  <si>
    <t>Pod Dry weight (g/pot)</t>
  </si>
  <si>
    <t>No. of Pods/ Plant</t>
  </si>
  <si>
    <t>No of Grains/pod</t>
  </si>
  <si>
    <t>Pod Length (cm)</t>
  </si>
  <si>
    <t>Grain K %</t>
  </si>
  <si>
    <t>Plant K %</t>
  </si>
  <si>
    <t xml:space="preserve">Plant N %				</t>
  </si>
  <si>
    <t>Grain N %</t>
  </si>
  <si>
    <t xml:space="preserve">Plant P %				</t>
  </si>
  <si>
    <t xml:space="preserve">Grain P %				</t>
  </si>
  <si>
    <t xml:space="preserve">Fresh shoot weight (g/pot)	</t>
  </si>
  <si>
    <t>Plant N %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</si>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</sst>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13417574282751"/>
          <c:y val="0.17277999664499738"/>
          <c:w val="0.83886582425717249"/>
          <c:h val="0.60985277569922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'Plant Height'!$J$8</c:f>
              <c:strCache>
                <c:ptCount val="1"/>
                <c:pt idx="0">
                  <c:v>Plant Height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'Plant Height'!$K$9:$K$13</c:f>
                <c:numCache>
                  <c:formatCode>General</c:formatCode>
                  <c:ptCount val="5"/>
                  <c:pt idx="0">
                    <c:v>0.57735026918962573</c:v>
                  </c:pt>
                  <c:pt idx="1">
                    <c:v>0.57735026918962573</c:v>
                  </c:pt>
                  <c:pt idx="2">
                    <c:v>0.57735026918962573</c:v>
                  </c:pt>
                  <c:pt idx="3">
                    <c:v>1</c:v>
                  </c:pt>
                  <c:pt idx="4">
                    <c:v>0.57735026918962573</c:v>
                  </c:pt>
                </c:numCache>
              </c:numRef>
            </c:plus>
            <c:minus>
              <c:numRef>
                <c:f>'Plant Height'!$K$9:$K$13</c:f>
                <c:numCache>
                  <c:formatCode>General</c:formatCode>
                  <c:ptCount val="5"/>
                  <c:pt idx="0">
                    <c:v>0.57735026918962573</c:v>
                  </c:pt>
                  <c:pt idx="1">
                    <c:v>0.57735026918962573</c:v>
                  </c:pt>
                  <c:pt idx="2">
                    <c:v>0.57735026918962573</c:v>
                  </c:pt>
                  <c:pt idx="3">
                    <c:v>1</c:v>
                  </c:pt>
                  <c:pt idx="4">
                    <c:v>0.57735026918962573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'Plant Height'!$I$9:$I$13</c:f>
              <c:strCache>
                <c:ptCount val="5"/>
                <c:pt idx="0">
                  <c:v>Control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'Plant Height'!$J$9:$J$13</c:f>
              <c:numCache>
                <c:formatCode>0.0</c:formatCode>
                <c:ptCount val="5"/>
                <c:pt idx="0">
                  <c:v>12.333333333333334</c:v>
                </c:pt>
                <c:pt idx="1">
                  <c:v>14.333333333333334</c:v>
                </c:pt>
                <c:pt idx="2">
                  <c:v>14.666666666666666</c:v>
                </c:pt>
                <c:pt idx="3">
                  <c:v>12</c:v>
                </c:pt>
                <c:pt idx="4">
                  <c:v>13.666666666666666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B-470E-923A-8A6C3D98E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'Dry shoot weight'!$J$8</c:f>
              <c:strCache>
                <c:ptCount val="1"/>
                <c:pt idx="0">
                  <c:v>PlaDry shoot weight (g/pot)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E92-43DF-8D78-139781321E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E92-43DF-8D78-139781321E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E92-43DF-8D78-139781321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'Dry shoot weight'!$K$9:$K$13</c:f>
                <c:numCache>
                  <c:formatCode>General</c:formatCode>
                  <c:ptCount val="5"/>
                  <c:pt idx="0">
                    <c:v>3.726452736853104</c:v>
                  </c:pt>
                  <c:pt idx="1">
                    <c:v>2.686186888509436</c:v>
                  </c:pt>
                  <c:pt idx="2">
                    <c:v>1.2500799974401644</c:v>
                  </c:pt>
                  <c:pt idx="3">
                    <c:v>2.0454583838347826</c:v>
                  </c:pt>
                  <c:pt idx="4">
                    <c:v>1.1170049238924598</c:v>
                  </c:pt>
                </c:numCache>
              </c:numRef>
            </c:plus>
            <c:minus>
              <c:numRef>
                <c:f>'Dry shoot weight'!$K$9:$K$13</c:f>
                <c:numCache>
                  <c:formatCode>General</c:formatCode>
                  <c:ptCount val="5"/>
                  <c:pt idx="0">
                    <c:v>3.726452736853104</c:v>
                  </c:pt>
                  <c:pt idx="1">
                    <c:v>2.686186888509436</c:v>
                  </c:pt>
                  <c:pt idx="2">
                    <c:v>1.2500799974401644</c:v>
                  </c:pt>
                  <c:pt idx="3">
                    <c:v>2.0454583838347826</c:v>
                  </c:pt>
                  <c:pt idx="4">
                    <c:v>1.1170049238924598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'Dry shoot weight'!$I$9:$I$13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'Dry shoot weight'!$J$9:$J$13</c:f>
              <c:numCache>
                <c:formatCode>0.0</c:formatCode>
                <c:ptCount val="5"/>
                <c:pt idx="0">
                  <c:v>4.6050000000000004</c:v>
                </c:pt>
                <c:pt idx="1">
                  <c:v>3.4899999999999998</c:v>
                </c:pt>
                <c:pt idx="2">
                  <c:v>2.6</c:v>
                </c:pt>
                <c:pt idx="3">
                  <c:v>3.4000000000000004</c:v>
                </c:pt>
                <c:pt idx="4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92-43DF-8D78-139781321E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'Fresh Shoot Weight'!$J$8</c:f>
              <c:strCache>
                <c:ptCount val="1"/>
                <c:pt idx="0">
                  <c:v>Fresh shoot weight (g/pot)				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E80-4E38-B412-1750314FC1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E80-4E38-B412-1750314FC1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E80-4E38-B412-1750314FC1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'Fresh Shoot Weight'!$K$9:$K$13</c:f>
                <c:numCache>
                  <c:formatCode>General</c:formatCode>
                  <c:ptCount val="5"/>
                  <c:pt idx="0">
                    <c:v>4</c:v>
                  </c:pt>
                  <c:pt idx="1">
                    <c:v>2.3094010767585034</c:v>
                  </c:pt>
                  <c:pt idx="2">
                    <c:v>2.0816659994661331</c:v>
                  </c:pt>
                  <c:pt idx="3">
                    <c:v>6.1101009266077853</c:v>
                  </c:pt>
                  <c:pt idx="4">
                    <c:v>8.8881944173155887</c:v>
                  </c:pt>
                </c:numCache>
              </c:numRef>
            </c:plus>
            <c:minus>
              <c:numRef>
                <c:f>'Fresh Shoot Weight'!$K$9:$K$13</c:f>
                <c:numCache>
                  <c:formatCode>General</c:formatCode>
                  <c:ptCount val="5"/>
                  <c:pt idx="0">
                    <c:v>4</c:v>
                  </c:pt>
                  <c:pt idx="1">
                    <c:v>2.3094010767585034</c:v>
                  </c:pt>
                  <c:pt idx="2">
                    <c:v>2.0816659994661331</c:v>
                  </c:pt>
                  <c:pt idx="3">
                    <c:v>6.1101009266077853</c:v>
                  </c:pt>
                  <c:pt idx="4">
                    <c:v>8.8881944173155887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'Fresh Shoot Weight'!$I$9:$I$13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'Fresh Shoot Weight'!$J$9:$J$13</c:f>
              <c:numCache>
                <c:formatCode>0.0</c:formatCode>
                <c:ptCount val="5"/>
                <c:pt idx="0">
                  <c:v>28</c:v>
                </c:pt>
                <c:pt idx="1">
                  <c:v>24.666666666666668</c:v>
                </c:pt>
                <c:pt idx="2">
                  <c:v>20.333333333333332</c:v>
                </c:pt>
                <c:pt idx="3">
                  <c:v>17.333333333333332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80-4E38-B412-1750314FC1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'Root Fresh weight'!$J$8</c:f>
              <c:strCache>
                <c:ptCount val="1"/>
                <c:pt idx="0">
                  <c:v>Root Fresh weight (g/pot)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BD3-40B6-8D64-B8C8384E0EC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BD3-40B6-8D64-B8C8384E0E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BD3-40B6-8D64-B8C8384E0E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'Root Fresh weight'!$K$9:$K$13</c:f>
                <c:numCache>
                  <c:formatCode>General</c:formatCode>
                  <c:ptCount val="5"/>
                  <c:pt idx="0">
                    <c:v>0.59601454120963582</c:v>
                  </c:pt>
                  <c:pt idx="1">
                    <c:v>0.31754264805429405</c:v>
                  </c:pt>
                  <c:pt idx="2">
                    <c:v>0.26457513110645903</c:v>
                  </c:pt>
                  <c:pt idx="3">
                    <c:v>0.50477717856495796</c:v>
                  </c:pt>
                  <c:pt idx="4">
                    <c:v>0.66583281184793797</c:v>
                  </c:pt>
                </c:numCache>
              </c:numRef>
            </c:plus>
            <c:minus>
              <c:numRef>
                <c:f>'Root Fresh weight'!$K$9:$K$13</c:f>
                <c:numCache>
                  <c:formatCode>General</c:formatCode>
                  <c:ptCount val="5"/>
                  <c:pt idx="0">
                    <c:v>0.59601454120963582</c:v>
                  </c:pt>
                  <c:pt idx="1">
                    <c:v>0.31754264805429405</c:v>
                  </c:pt>
                  <c:pt idx="2">
                    <c:v>0.26457513110645903</c:v>
                  </c:pt>
                  <c:pt idx="3">
                    <c:v>0.50477717856495796</c:v>
                  </c:pt>
                  <c:pt idx="4">
                    <c:v>0.66583281184793797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'Root Fresh weight'!$I$9:$I$13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'Root Fresh weight'!$J$9:$J$13</c:f>
              <c:numCache>
                <c:formatCode>0.0</c:formatCode>
                <c:ptCount val="5"/>
                <c:pt idx="0">
                  <c:v>2.6966666666666668</c:v>
                </c:pt>
                <c:pt idx="1">
                  <c:v>3.2833333333333332</c:v>
                </c:pt>
                <c:pt idx="2">
                  <c:v>3.6999999999999997</c:v>
                </c:pt>
                <c:pt idx="3">
                  <c:v>3.56</c:v>
                </c:pt>
                <c:pt idx="4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3-40B6-8D64-B8C8384E0E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'Root Dry weight'!$J$8</c:f>
              <c:strCache>
                <c:ptCount val="1"/>
                <c:pt idx="0">
                  <c:v>Root Dry weight (g/pot)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6F4-4F8E-9689-AE0416BB82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6F4-4F8E-9689-AE0416BB82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6F4-4F8E-9689-AE0416BB82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'Root Dry weight'!$K$9:$K$13</c:f>
                <c:numCache>
                  <c:formatCode>General</c:formatCode>
                  <c:ptCount val="5"/>
                  <c:pt idx="0">
                    <c:v>0.10503967504392438</c:v>
                  </c:pt>
                  <c:pt idx="1">
                    <c:v>0.15534906930308059</c:v>
                  </c:pt>
                  <c:pt idx="2">
                    <c:v>0.15620499351813161</c:v>
                  </c:pt>
                  <c:pt idx="3">
                    <c:v>0.31005375877956043</c:v>
                  </c:pt>
                  <c:pt idx="4">
                    <c:v>0.26457513110645958</c:v>
                  </c:pt>
                </c:numCache>
              </c:numRef>
            </c:plus>
            <c:minus>
              <c:numRef>
                <c:f>'Root Dry weight'!$K$9:$K$13</c:f>
                <c:numCache>
                  <c:formatCode>General</c:formatCode>
                  <c:ptCount val="5"/>
                  <c:pt idx="0">
                    <c:v>0.10503967504392438</c:v>
                  </c:pt>
                  <c:pt idx="1">
                    <c:v>0.15534906930308059</c:v>
                  </c:pt>
                  <c:pt idx="2">
                    <c:v>0.15620499351813161</c:v>
                  </c:pt>
                  <c:pt idx="3">
                    <c:v>0.31005375877956043</c:v>
                  </c:pt>
                  <c:pt idx="4">
                    <c:v>0.26457513110645958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'Root Dry weight'!$I$9:$I$13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'Root Dry weight'!$J$9:$J$13</c:f>
              <c:numCache>
                <c:formatCode>0.0</c:formatCode>
                <c:ptCount val="5"/>
                <c:pt idx="0">
                  <c:v>0.78666666666666674</c:v>
                </c:pt>
                <c:pt idx="1">
                  <c:v>1.0733333333333335</c:v>
                </c:pt>
                <c:pt idx="2">
                  <c:v>1.2000000000000002</c:v>
                </c:pt>
                <c:pt idx="3">
                  <c:v>1.5733333333333333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4-4F8E-9689-AE0416BB82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'Pod Fresh weight'!$J$8</c:f>
              <c:strCache>
                <c:ptCount val="1"/>
                <c:pt idx="0">
                  <c:v>Pod Fresh weight (g/pot)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CE9-47CF-81DB-8A8AE2C3E0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CE9-47CF-81DB-8A8AE2C3E0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CE9-47CF-81DB-8A8AE2C3E0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'Pod Fresh weight'!$K$9:$K$13</c:f>
                <c:numCache>
                  <c:formatCode>General</c:formatCode>
                  <c:ptCount val="5"/>
                  <c:pt idx="0">
                    <c:v>0.78102496759066575</c:v>
                  </c:pt>
                  <c:pt idx="1">
                    <c:v>1.4742229591663989</c:v>
                  </c:pt>
                  <c:pt idx="2">
                    <c:v>0.86216781042517032</c:v>
                  </c:pt>
                  <c:pt idx="3">
                    <c:v>1.1532562594670792</c:v>
                  </c:pt>
                  <c:pt idx="4">
                    <c:v>1.2124355652982151</c:v>
                  </c:pt>
                </c:numCache>
              </c:numRef>
            </c:plus>
            <c:minus>
              <c:numRef>
                <c:f>'Pod Fresh weight'!$K$9:$K$13</c:f>
                <c:numCache>
                  <c:formatCode>General</c:formatCode>
                  <c:ptCount val="5"/>
                  <c:pt idx="0">
                    <c:v>0.78102496759066575</c:v>
                  </c:pt>
                  <c:pt idx="1">
                    <c:v>1.4742229591663989</c:v>
                  </c:pt>
                  <c:pt idx="2">
                    <c:v>0.86216781042517032</c:v>
                  </c:pt>
                  <c:pt idx="3">
                    <c:v>1.1532562594670792</c:v>
                  </c:pt>
                  <c:pt idx="4">
                    <c:v>1.2124355652982151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'Pod Fresh weight'!$I$9:$I$13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'Pod Fresh weight'!$J$9:$J$13</c:f>
              <c:numCache>
                <c:formatCode>0.0</c:formatCode>
                <c:ptCount val="5"/>
                <c:pt idx="0">
                  <c:v>14.9</c:v>
                </c:pt>
                <c:pt idx="1">
                  <c:v>23.866666666666664</c:v>
                </c:pt>
                <c:pt idx="2">
                  <c:v>24.766666666666666</c:v>
                </c:pt>
                <c:pt idx="3">
                  <c:v>22.7</c:v>
                </c:pt>
                <c:pt idx="4">
                  <c:v>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9-47CF-81DB-8A8AE2C3E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'Pod Dry weight '!$J$8</c:f>
              <c:strCache>
                <c:ptCount val="1"/>
                <c:pt idx="0">
                  <c:v>Pod Dry weight (g/pot)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C90-4AEF-AB74-BA1C322C9E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90-4AEF-AB74-BA1C322C9E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C90-4AEF-AB74-BA1C322C9E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'Pod Dry weight '!$K$9:$K$13</c:f>
                <c:numCache>
                  <c:formatCode>General</c:formatCode>
                  <c:ptCount val="5"/>
                  <c:pt idx="0">
                    <c:v>0.64291005073286345</c:v>
                  </c:pt>
                  <c:pt idx="1">
                    <c:v>0.86216781042517054</c:v>
                  </c:pt>
                  <c:pt idx="2">
                    <c:v>1.1718930554164626</c:v>
                  </c:pt>
                  <c:pt idx="3">
                    <c:v>1.6165807537309642</c:v>
                  </c:pt>
                  <c:pt idx="4">
                    <c:v>1.1532562594670792</c:v>
                  </c:pt>
                </c:numCache>
              </c:numRef>
            </c:plus>
            <c:minus>
              <c:numRef>
                <c:f>'Pod Dry weight '!$K$9:$K$13</c:f>
                <c:numCache>
                  <c:formatCode>General</c:formatCode>
                  <c:ptCount val="5"/>
                  <c:pt idx="0">
                    <c:v>0.64291005073286345</c:v>
                  </c:pt>
                  <c:pt idx="1">
                    <c:v>0.86216781042517054</c:v>
                  </c:pt>
                  <c:pt idx="2">
                    <c:v>1.1718930554164626</c:v>
                  </c:pt>
                  <c:pt idx="3">
                    <c:v>1.6165807537309642</c:v>
                  </c:pt>
                  <c:pt idx="4">
                    <c:v>1.1532562594670792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'Pod Dry weight 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'Pod Dry weight '!$J$9:$J$13</c:f>
              <c:numCache>
                <c:formatCode>0.0</c:formatCode>
                <c:ptCount val="5"/>
                <c:pt idx="0">
                  <c:v>10.533333333333333</c:v>
                </c:pt>
                <c:pt idx="1">
                  <c:v>12.233333333333334</c:v>
                </c:pt>
                <c:pt idx="2">
                  <c:v>11.866666666666667</c:v>
                </c:pt>
                <c:pt idx="3">
                  <c:v>12.266666666666666</c:v>
                </c:pt>
                <c:pt idx="4">
                  <c:v>14.200000000000001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0-4AEF-AB74-BA1C322C9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'Pods per Plant'!$J$8</c:f>
              <c:strCache>
                <c:ptCount val="1"/>
                <c:pt idx="0">
                  <c:v>No. of Pods/ Plant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23E-4012-903A-0A75BE377B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23E-4012-903A-0A75BE377B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23E-4012-903A-0A75BE377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'Pods per Plant'!$K$9:$K$13</c:f>
                <c:numCache>
                  <c:formatCode>General</c:formatCode>
                  <c:ptCount val="5"/>
                  <c:pt idx="0">
                    <c:v>0.57735026918962584</c:v>
                  </c:pt>
                  <c:pt idx="1">
                    <c:v>1</c:v>
                  </c:pt>
                  <c:pt idx="2">
                    <c:v>1.1547005383792515</c:v>
                  </c:pt>
                  <c:pt idx="3">
                    <c:v>1</c:v>
                  </c:pt>
                  <c:pt idx="4">
                    <c:v>0.57735026918962473</c:v>
                  </c:pt>
                </c:numCache>
              </c:numRef>
            </c:plus>
            <c:minus>
              <c:numRef>
                <c:f>'Pods per Plant'!$K$9:$K$13</c:f>
                <c:numCache>
                  <c:formatCode>General</c:formatCode>
                  <c:ptCount val="5"/>
                  <c:pt idx="0">
                    <c:v>0.57735026918962584</c:v>
                  </c:pt>
                  <c:pt idx="1">
                    <c:v>1</c:v>
                  </c:pt>
                  <c:pt idx="2">
                    <c:v>1.1547005383792515</c:v>
                  </c:pt>
                  <c:pt idx="3">
                    <c:v>1</c:v>
                  </c:pt>
                  <c:pt idx="4">
                    <c:v>0.57735026918962473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'Pods per Plant'!$I$9:$I$13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'Pods per Plant'!$J$9:$J$13</c:f>
              <c:numCache>
                <c:formatCode>0.0</c:formatCode>
                <c:ptCount val="5"/>
                <c:pt idx="0">
                  <c:v>1.3333333333333333</c:v>
                </c:pt>
                <c:pt idx="1">
                  <c:v>2</c:v>
                </c:pt>
                <c:pt idx="2">
                  <c:v>1.6666666666666667</c:v>
                </c:pt>
                <c:pt idx="3">
                  <c:v>2</c:v>
                </c:pt>
                <c:pt idx="4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3E-4012-903A-0A75BE377B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'No. of grains per pod'!$J$8</c:f>
              <c:strCache>
                <c:ptCount val="1"/>
                <c:pt idx="0">
                  <c:v>No of Grains/pod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402-4D54-8E84-691D61AFC5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402-4D54-8E84-691D61AFC5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402-4D54-8E84-691D61AFC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'No. of grains per pod'!$K$9:$K$13</c:f>
                <c:numCache>
                  <c:formatCode>General</c:formatCode>
                  <c:ptCount val="5"/>
                  <c:pt idx="0">
                    <c:v>2.0816659994661326</c:v>
                  </c:pt>
                  <c:pt idx="1">
                    <c:v>1</c:v>
                  </c:pt>
                  <c:pt idx="2">
                    <c:v>4.1633319989322661</c:v>
                  </c:pt>
                  <c:pt idx="3">
                    <c:v>1.5275252316519465</c:v>
                  </c:pt>
                  <c:pt idx="4">
                    <c:v>1.5275252316519468</c:v>
                  </c:pt>
                </c:numCache>
              </c:numRef>
            </c:plus>
            <c:minus>
              <c:numRef>
                <c:f>'No. of grains per pod'!$K$9:$K$13</c:f>
                <c:numCache>
                  <c:formatCode>General</c:formatCode>
                  <c:ptCount val="5"/>
                  <c:pt idx="0">
                    <c:v>2.0816659994661326</c:v>
                  </c:pt>
                  <c:pt idx="1">
                    <c:v>1</c:v>
                  </c:pt>
                  <c:pt idx="2">
                    <c:v>4.1633319989322661</c:v>
                  </c:pt>
                  <c:pt idx="3">
                    <c:v>1.5275252316519465</c:v>
                  </c:pt>
                  <c:pt idx="4">
                    <c:v>1.5275252316519468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'No. of grains per pod'!$I$9:$I$13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'No. of grains per pod'!$J$9:$J$13</c:f>
              <c:numCache>
                <c:formatCode>0.0</c:formatCode>
                <c:ptCount val="5"/>
                <c:pt idx="0">
                  <c:v>36.333333333333336</c:v>
                </c:pt>
                <c:pt idx="1">
                  <c:v>50</c:v>
                </c:pt>
                <c:pt idx="2">
                  <c:v>44.333333333333336</c:v>
                </c:pt>
                <c:pt idx="3">
                  <c:v>48.333333333333336</c:v>
                </c:pt>
                <c:pt idx="4">
                  <c:v>77.333333333333329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02-4D54-8E84-691D61AFC5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'Pod Lenght'!$J$8</c:f>
              <c:strCache>
                <c:ptCount val="1"/>
                <c:pt idx="0">
                  <c:v>Pod Length (cm)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250-45D8-97D9-42B4389894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250-45D8-97D9-42B4389894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250-45D8-97D9-42B4389894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'Pod Lenght'!$K$9:$K$13</c:f>
                <c:numCache>
                  <c:formatCode>General</c:formatCode>
                  <c:ptCount val="5"/>
                  <c:pt idx="0">
                    <c:v>0.28867513459481292</c:v>
                  </c:pt>
                  <c:pt idx="1">
                    <c:v>1.2897028081435402</c:v>
                  </c:pt>
                  <c:pt idx="2">
                    <c:v>0.76376261582597327</c:v>
                  </c:pt>
                  <c:pt idx="3">
                    <c:v>0.556776436283002</c:v>
                  </c:pt>
                  <c:pt idx="4">
                    <c:v>0.58106224566162779</c:v>
                  </c:pt>
                </c:numCache>
              </c:numRef>
            </c:plus>
            <c:minus>
              <c:numRef>
                <c:f>'Pod Lenght'!$K$9:$K$13</c:f>
                <c:numCache>
                  <c:formatCode>General</c:formatCode>
                  <c:ptCount val="5"/>
                  <c:pt idx="0">
                    <c:v>0.28867513459481292</c:v>
                  </c:pt>
                  <c:pt idx="1">
                    <c:v>1.2897028081435402</c:v>
                  </c:pt>
                  <c:pt idx="2">
                    <c:v>0.76376261582597327</c:v>
                  </c:pt>
                  <c:pt idx="3">
                    <c:v>0.556776436283002</c:v>
                  </c:pt>
                  <c:pt idx="4">
                    <c:v>0.58106224566162779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'Pod Lenght'!$I$9:$I$13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'Pod Lenght'!$J$9:$J$13</c:f>
              <c:numCache>
                <c:formatCode>0.0</c:formatCode>
                <c:ptCount val="5"/>
                <c:pt idx="0">
                  <c:v>9.6666666666666661</c:v>
                </c:pt>
                <c:pt idx="1">
                  <c:v>11.933333333333332</c:v>
                </c:pt>
                <c:pt idx="2">
                  <c:v>10.666666666666666</c:v>
                </c:pt>
                <c:pt idx="3">
                  <c:v>10.9</c:v>
                </c:pt>
                <c:pt idx="4">
                  <c:v>12.356666666666667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0-45D8-97D9-42B4389894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'Grain K %'!$J$8</c:f>
              <c:strCache>
                <c:ptCount val="1"/>
                <c:pt idx="0">
                  <c:v>Grain K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8CF-49BE-9A1E-514D3485C39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8CF-49BE-9A1E-514D3485C39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8CF-49BE-9A1E-514D3485C3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'Grain K %'!$K$9:$K$13</c:f>
                <c:numCache>
                  <c:formatCode>General</c:formatCode>
                  <c:ptCount val="5"/>
                  <c:pt idx="0">
                    <c:v>3.3709543653590621E-2</c:v>
                  </c:pt>
                  <c:pt idx="1">
                    <c:v>3.9153543900903517E-2</c:v>
                  </c:pt>
                  <c:pt idx="2">
                    <c:v>4.1617304093369632E-2</c:v>
                  </c:pt>
                  <c:pt idx="3">
                    <c:v>3.5510561809129412E-2</c:v>
                  </c:pt>
                  <c:pt idx="4">
                    <c:v>2.3007245235649884E-2</c:v>
                  </c:pt>
                </c:numCache>
              </c:numRef>
            </c:plus>
            <c:minus>
              <c:numRef>
                <c:f>'Grain K %'!$K$9:$K$13</c:f>
                <c:numCache>
                  <c:formatCode>General</c:formatCode>
                  <c:ptCount val="5"/>
                  <c:pt idx="0">
                    <c:v>3.3709543653590621E-2</c:v>
                  </c:pt>
                  <c:pt idx="1">
                    <c:v>3.9153543900903517E-2</c:v>
                  </c:pt>
                  <c:pt idx="2">
                    <c:v>4.1617304093369632E-2</c:v>
                  </c:pt>
                  <c:pt idx="3">
                    <c:v>3.5510561809129412E-2</c:v>
                  </c:pt>
                  <c:pt idx="4">
                    <c:v>2.3007245235649884E-2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'Grain K %'!$I$9:$I$13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'Grain K %'!$J$9:$J$13</c:f>
              <c:numCache>
                <c:formatCode>0.0</c:formatCode>
                <c:ptCount val="5"/>
                <c:pt idx="0">
                  <c:v>0.43433333333333329</c:v>
                </c:pt>
                <c:pt idx="1">
                  <c:v>0.254</c:v>
                </c:pt>
                <c:pt idx="2">
                  <c:v>0.45799999999999996</c:v>
                </c:pt>
                <c:pt idx="3">
                  <c:v>0.36299999999999999</c:v>
                </c:pt>
                <c:pt idx="4">
                  <c:v>0.60733333333333339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CF-49BE-9A1E-514D3485C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'Plant K %'!$J$8</c:f>
              <c:strCache>
                <c:ptCount val="1"/>
                <c:pt idx="0">
                  <c:v>Plant K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9C8-47B1-A73B-F52395D152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9C8-47B1-A73B-F52395D152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9C8-47B1-A73B-F52395D15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'Plant K %'!$K$9:$K$13</c:f>
                <c:numCache>
                  <c:formatCode>General</c:formatCode>
                  <c:ptCount val="5"/>
                  <c:pt idx="0">
                    <c:v>4.0857475856118597E-2</c:v>
                  </c:pt>
                  <c:pt idx="1">
                    <c:v>1.8502252115170575E-2</c:v>
                  </c:pt>
                  <c:pt idx="2">
                    <c:v>1.1590225767142484E-2</c:v>
                  </c:pt>
                  <c:pt idx="3">
                    <c:v>1.6563010998406472E-2</c:v>
                  </c:pt>
                  <c:pt idx="4">
                    <c:v>3.5118845842842437E-2</c:v>
                  </c:pt>
                </c:numCache>
              </c:numRef>
            </c:plus>
            <c:minus>
              <c:numRef>
                <c:f>'Plant K %'!$K$9:$K$13</c:f>
                <c:numCache>
                  <c:formatCode>General</c:formatCode>
                  <c:ptCount val="5"/>
                  <c:pt idx="0">
                    <c:v>4.0857475856118597E-2</c:v>
                  </c:pt>
                  <c:pt idx="1">
                    <c:v>1.8502252115170575E-2</c:v>
                  </c:pt>
                  <c:pt idx="2">
                    <c:v>1.1590225767142484E-2</c:v>
                  </c:pt>
                  <c:pt idx="3">
                    <c:v>1.6563010998406472E-2</c:v>
                  </c:pt>
                  <c:pt idx="4">
                    <c:v>3.5118845842842437E-2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'Plant K %'!$I$9:$I$13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'Plant K %'!$J$9:$J$13</c:f>
              <c:numCache>
                <c:formatCode>0.0</c:formatCode>
                <c:ptCount val="5"/>
                <c:pt idx="0">
                  <c:v>0.28066666666666668</c:v>
                </c:pt>
                <c:pt idx="1">
                  <c:v>0.59133333333333338</c:v>
                </c:pt>
                <c:pt idx="2">
                  <c:v>0.50233333333333341</c:v>
                </c:pt>
                <c:pt idx="3">
                  <c:v>0.5073333333333333</c:v>
                </c:pt>
                <c:pt idx="4">
                  <c:v>0.90333333333333332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C8-47B1-A73B-F52395D152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'Plant N %'!$J$8</c:f>
              <c:strCache>
                <c:ptCount val="1"/>
                <c:pt idx="0">
                  <c:v>Plant N %				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C2D-431B-A249-C821913517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C2D-431B-A249-C821913517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C2D-431B-A249-C821913517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'Plant N %'!$K$9:$K$13</c:f>
                <c:numCache>
                  <c:formatCode>General</c:formatCode>
                  <c:ptCount val="5"/>
                  <c:pt idx="0">
                    <c:v>7.0000000000000007E-2</c:v>
                  </c:pt>
                  <c:pt idx="1">
                    <c:v>7.8366468169321829E-2</c:v>
                  </c:pt>
                  <c:pt idx="2">
                    <c:v>6.3047363148667893E-2</c:v>
                  </c:pt>
                  <c:pt idx="3">
                    <c:v>2.51334438547526E-2</c:v>
                  </c:pt>
                  <c:pt idx="4">
                    <c:v>1.1547438388375733E-2</c:v>
                  </c:pt>
                </c:numCache>
              </c:numRef>
            </c:plus>
            <c:minus>
              <c:numRef>
                <c:f>'Plant N %'!$K$9:$K$13</c:f>
                <c:numCache>
                  <c:formatCode>General</c:formatCode>
                  <c:ptCount val="5"/>
                  <c:pt idx="0">
                    <c:v>7.0000000000000007E-2</c:v>
                  </c:pt>
                  <c:pt idx="1">
                    <c:v>7.8366468169321829E-2</c:v>
                  </c:pt>
                  <c:pt idx="2">
                    <c:v>6.3047363148667893E-2</c:v>
                  </c:pt>
                  <c:pt idx="3">
                    <c:v>2.51334438547526E-2</c:v>
                  </c:pt>
                  <c:pt idx="4">
                    <c:v>1.1547438388375733E-2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'Plant N %'!$I$9:$I$13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'Plant N %'!$J$9:$J$13</c:f>
              <c:numCache>
                <c:formatCode>0.0</c:formatCode>
                <c:ptCount val="5"/>
                <c:pt idx="0">
                  <c:v>0.73999999999999988</c:v>
                </c:pt>
                <c:pt idx="1">
                  <c:v>1.2475666666666667</c:v>
                </c:pt>
                <c:pt idx="2">
                  <c:v>1.0533000000000001</c:v>
                </c:pt>
                <c:pt idx="3">
                  <c:v>1.2407000000000001</c:v>
                </c:pt>
                <c:pt idx="4">
                  <c:v>1.3037666666666665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2D-431B-A249-C821913517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'Grain N %'!$J$8</c:f>
              <c:strCache>
                <c:ptCount val="1"/>
                <c:pt idx="0">
                  <c:v>Grain 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CF8-4B76-93A6-794F2BF0E7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CF8-4B76-93A6-794F2BF0E7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CF8-4B76-93A6-794F2BF0E7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'Grain N %'!$K$9:$K$13</c:f>
                <c:numCache>
                  <c:formatCode>General</c:formatCode>
                  <c:ptCount val="5"/>
                  <c:pt idx="0">
                    <c:v>7.5425459892532312E-2</c:v>
                  </c:pt>
                  <c:pt idx="1">
                    <c:v>5.302829433425145E-2</c:v>
                  </c:pt>
                  <c:pt idx="2">
                    <c:v>0.14930170796075776</c:v>
                  </c:pt>
                  <c:pt idx="3">
                    <c:v>5.8923679450624995E-2</c:v>
                  </c:pt>
                  <c:pt idx="4">
                    <c:v>2.4248711305964205E-2</c:v>
                  </c:pt>
                </c:numCache>
              </c:numRef>
            </c:plus>
            <c:minus>
              <c:numRef>
                <c:f>'Grain N %'!$K$9:$K$13</c:f>
                <c:numCache>
                  <c:formatCode>General</c:formatCode>
                  <c:ptCount val="5"/>
                  <c:pt idx="0">
                    <c:v>7.5425459892532312E-2</c:v>
                  </c:pt>
                  <c:pt idx="1">
                    <c:v>5.302829433425145E-2</c:v>
                  </c:pt>
                  <c:pt idx="2">
                    <c:v>0.14930170796075776</c:v>
                  </c:pt>
                  <c:pt idx="3">
                    <c:v>5.8923679450624995E-2</c:v>
                  </c:pt>
                  <c:pt idx="4">
                    <c:v>2.4248711305964205E-2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'Grain N %'!$I$9:$I$13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'Grain N %'!$J$9:$J$13</c:f>
              <c:numCache>
                <c:formatCode>0.0</c:formatCode>
                <c:ptCount val="5"/>
                <c:pt idx="0">
                  <c:v>0.84199999999999997</c:v>
                </c:pt>
                <c:pt idx="1">
                  <c:v>1.113</c:v>
                </c:pt>
                <c:pt idx="2">
                  <c:v>0.96500000000000019</c:v>
                </c:pt>
                <c:pt idx="3">
                  <c:v>1.133</c:v>
                </c:pt>
                <c:pt idx="4">
                  <c:v>1.1200000000000001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F8-4B76-93A6-794F2BF0E7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'Plant P %'!$J$8</c:f>
              <c:strCache>
                <c:ptCount val="1"/>
                <c:pt idx="0">
                  <c:v>Plant P %				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CAF-4806-8C6D-7D07F06C283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CAF-4806-8C6D-7D07F06C283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CAF-4806-8C6D-7D07F06C28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'Plant P %'!$K$9:$K$13</c:f>
                <c:numCache>
                  <c:formatCode>General</c:formatCode>
                  <c:ptCount val="5"/>
                  <c:pt idx="0">
                    <c:v>5.2915026221291859E-3</c:v>
                  </c:pt>
                  <c:pt idx="1">
                    <c:v>2.0000000000000018E-3</c:v>
                  </c:pt>
                  <c:pt idx="2">
                    <c:v>7.5718777944003635E-3</c:v>
                  </c:pt>
                  <c:pt idx="3">
                    <c:v>2.0550750189064392E-2</c:v>
                  </c:pt>
                  <c:pt idx="4">
                    <c:v>2.7227437142216249E-2</c:v>
                  </c:pt>
                </c:numCache>
              </c:numRef>
            </c:plus>
            <c:minus>
              <c:numRef>
                <c:f>'Plant P %'!$K$9:$K$13</c:f>
                <c:numCache>
                  <c:formatCode>General</c:formatCode>
                  <c:ptCount val="5"/>
                  <c:pt idx="0">
                    <c:v>5.2915026221291859E-3</c:v>
                  </c:pt>
                  <c:pt idx="1">
                    <c:v>2.0000000000000018E-3</c:v>
                  </c:pt>
                  <c:pt idx="2">
                    <c:v>7.5718777944003635E-3</c:v>
                  </c:pt>
                  <c:pt idx="3">
                    <c:v>2.0550750189064392E-2</c:v>
                  </c:pt>
                  <c:pt idx="4">
                    <c:v>2.7227437142216249E-2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'Plant P %'!$I$9:$I$13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'Plant P %'!$J$9:$J$13</c:f>
              <c:numCache>
                <c:formatCode>0.0</c:formatCode>
                <c:ptCount val="5"/>
                <c:pt idx="0">
                  <c:v>9.5000000000000015E-2</c:v>
                </c:pt>
                <c:pt idx="1">
                  <c:v>0.13100000000000001</c:v>
                </c:pt>
                <c:pt idx="2">
                  <c:v>0.11566666666666665</c:v>
                </c:pt>
                <c:pt idx="3">
                  <c:v>0.13066666666666668</c:v>
                </c:pt>
                <c:pt idx="4">
                  <c:v>0.16033333333333333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AF-4806-8C6D-7D07F06C28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'Grain P %'!$J$8</c:f>
              <c:strCache>
                <c:ptCount val="1"/>
                <c:pt idx="0">
                  <c:v>Grain P %				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123-4B57-A958-D378329DEB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123-4B57-A958-D378329DEB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123-4B57-A958-D378329DE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'Grain P %'!$K$9:$K$13</c:f>
                <c:numCache>
                  <c:formatCode>General</c:formatCode>
                  <c:ptCount val="5"/>
                  <c:pt idx="0">
                    <c:v>5.000000000000001E-3</c:v>
                  </c:pt>
                  <c:pt idx="1">
                    <c:v>6.1101009266077855E-3</c:v>
                  </c:pt>
                  <c:pt idx="2">
                    <c:v>7.76745346515402E-3</c:v>
                  </c:pt>
                  <c:pt idx="3">
                    <c:v>7.6376261582597324E-3</c:v>
                  </c:pt>
                  <c:pt idx="4">
                    <c:v>7.2341781380702418E-3</c:v>
                  </c:pt>
                </c:numCache>
              </c:numRef>
            </c:plus>
            <c:minus>
              <c:numRef>
                <c:f>'Grain P %'!$K$9:$K$13</c:f>
                <c:numCache>
                  <c:formatCode>General</c:formatCode>
                  <c:ptCount val="5"/>
                  <c:pt idx="0">
                    <c:v>5.000000000000001E-3</c:v>
                  </c:pt>
                  <c:pt idx="1">
                    <c:v>6.1101009266077855E-3</c:v>
                  </c:pt>
                  <c:pt idx="2">
                    <c:v>7.76745346515402E-3</c:v>
                  </c:pt>
                  <c:pt idx="3">
                    <c:v>7.6376261582597324E-3</c:v>
                  </c:pt>
                  <c:pt idx="4">
                    <c:v>7.2341781380702418E-3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'Grain P %'!$I$9:$I$13</c:f>
              <c:strCache>
                <c:ptCount val="5"/>
                <c:pt idx="0">
                  <c:v>Control</c:v>
                </c:pt>
                <c:pt idx="1">
                  <c:v>T 1</c:v>
                </c:pt>
                <c:pt idx="2">
                  <c:v>T 2</c:v>
                </c:pt>
                <c:pt idx="3">
                  <c:v>T 3</c:v>
                </c:pt>
                <c:pt idx="4">
                  <c:v>T 4</c:v>
                </c:pt>
              </c:strCache>
            </c:strRef>
          </c:cat>
          <c:val>
            <c:numRef>
              <c:f>'Grain P %'!$J$9:$J$13</c:f>
              <c:numCache>
                <c:formatCode>0.00</c:formatCode>
                <c:ptCount val="5"/>
                <c:pt idx="0">
                  <c:v>1.4999999999999999E-2</c:v>
                </c:pt>
                <c:pt idx="1">
                  <c:v>3.8666666666666669E-2</c:v>
                </c:pt>
                <c:pt idx="2">
                  <c:v>0.14233333333333334</c:v>
                </c:pt>
                <c:pt idx="3">
                  <c:v>0.11833333333333333</c:v>
                </c:pt>
                <c:pt idx="4">
                  <c:v>0.19033333333333333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23-4B57-A958-D378329DEB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2839792"/>
        <c:axId val="1312836432"/>
      </c:barChart>
      <c:catAx>
        <c:axId val="1312839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6432"/>
        <c:crosses val="autoZero"/>
        <c:auto val="1"/>
        <c:lblAlgn val="ctr"/>
        <c:lblOffset val="100"/>
        <c:noMultiLvlLbl val="0"/>
      </c:catAx>
      <c:valAx>
        <c:axId val="1312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186690</xdr:colOff>
      <xdr:row>15</xdr:row>
      <xdr:rowOff>98231</xdr:rowOff>
    </xdr:from>
    <xdr:to>
      <xdr:col>14</xdr:col>
      <xdr:colOff>514185</xdr:colOff>
      <xdr:row>30</xdr:row>
      <xdr:rowOff>100551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7406F-E482-4F24-95A1-DA85530BA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AA1B6-D4C1-4E84-8DB6-C5337E9B5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BEDBB-AF2E-4249-9AB8-19C4A9DBE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5ECF0-4ECB-4C9B-AC27-3F3EF0892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9A823-47CC-472B-BAAE-E31612A7E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09009-0EAC-4D55-BF0C-46CCB3244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73F37-5445-400D-8805-CBED43BB3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10869-F380-4109-9453-2EAEB2914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BC17A-27C3-43D6-832A-F797D4314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F7A8C-08A0-4BDA-8DBA-27AB421F2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1EF5B-343A-4651-A5EE-B9B539A8B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7997B-2FAB-4F65-8248-FE6ADC6F8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AFFFC-8DE9-4EA1-A650-A47AD773F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BB33F-094E-4BED-9F39-DC5BE49A0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F5CB4-A82D-4850-BB81-1FDAED2BD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506742</xdr:colOff>
      <xdr:row>8</xdr:row>
      <xdr:rowOff>105192</xdr:rowOff>
    </xdr:from>
    <xdr:to>
      <xdr:col>19</xdr:col>
      <xdr:colOff>128494</xdr:colOff>
      <xdr:row>23</xdr:row>
      <xdr:rowOff>107512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400AB-DE52-4373-8AD4-92C8D395D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EE19-F0AB-49D8-AD62-2AA87E1B7A01}">
  <dimension ref="A1:K16"/>
  <sheetViews>
    <sheetView zoomScale="79" zoomScaleNormal="115" workbookViewId="0">
      <selection activeCell="H14" sqref="H14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12</v>
      </c>
      <c r="D2" s="6">
        <f>AVERAGE(C2:C4)</f>
        <v>12.333333333333334</v>
      </c>
      <c r="E2" s="7">
        <f>STDEV(C2:C4)</f>
        <v>0.57735026918962573</v>
      </c>
      <c r="F2" s="7">
        <f>E2/1.73</f>
        <v>0.3337284793003617</v>
      </c>
    </row>
    <row r="3" spans="1:11">
      <c r="A3">
        <v>1</v>
      </c>
      <c r="B3">
        <v>2</v>
      </c>
      <c r="C3">
        <v>12</v>
      </c>
      <c r="D3" s="6"/>
      <c r="E3" s="7"/>
      <c r="F3" s="7"/>
    </row>
    <row r="4" spans="1:11">
      <c r="A4">
        <v>1</v>
      </c>
      <c r="B4">
        <v>3</v>
      </c>
      <c r="C4">
        <v>13</v>
      </c>
      <c r="D4" s="6"/>
      <c r="E4" s="7"/>
      <c r="F4" s="7"/>
    </row>
    <row r="5" spans="1:11">
      <c r="A5">
        <v>2</v>
      </c>
      <c r="B5">
        <v>1</v>
      </c>
      <c r="C5">
        <v>14</v>
      </c>
      <c r="D5" s="6">
        <f t="shared" ref="D5" si="0">AVERAGE(C5:C7)</f>
        <v>14.333333333333334</v>
      </c>
      <c r="E5" s="7">
        <f t="shared" ref="E5" si="1">STDEV(C5:C7)</f>
        <v>0.57735026918962573</v>
      </c>
      <c r="F5" s="7">
        <f t="shared" ref="F5" si="2">E5/1.73</f>
        <v>0.3337284793003617</v>
      </c>
    </row>
    <row r="6" spans="1:11">
      <c r="A6">
        <v>2</v>
      </c>
      <c r="B6">
        <v>2</v>
      </c>
      <c r="C6">
        <v>14</v>
      </c>
      <c r="D6" s="6"/>
      <c r="E6" s="7"/>
      <c r="F6" s="7"/>
    </row>
    <row r="7" spans="1:11">
      <c r="A7">
        <v>2</v>
      </c>
      <c r="B7">
        <v>3</v>
      </c>
      <c r="C7">
        <v>15</v>
      </c>
      <c r="D7" s="6"/>
      <c r="E7" s="7"/>
      <c r="F7" s="7"/>
    </row>
    <row r="8" spans="1:11">
      <c r="A8">
        <v>3</v>
      </c>
      <c r="B8">
        <v>1</v>
      </c>
      <c r="C8">
        <v>15</v>
      </c>
      <c r="D8" s="6">
        <f t="shared" ref="D8" si="3">AVERAGE(C8:C10)</f>
        <v>14.666666666666666</v>
      </c>
      <c r="E8" s="7">
        <f t="shared" ref="E8" si="4">STDEV(C8:C10)</f>
        <v>0.57735026918962573</v>
      </c>
      <c r="F8" s="7">
        <f t="shared" ref="F8" si="5">E8/1.73</f>
        <v>0.3337284793003617</v>
      </c>
      <c r="I8" t="s">
        <v>0</v>
      </c>
      <c r="J8" t="s">
        <v>7</v>
      </c>
    </row>
    <row r="9" spans="1:11">
      <c r="A9">
        <v>3</v>
      </c>
      <c r="B9">
        <v>2</v>
      </c>
      <c r="C9">
        <v>15</v>
      </c>
      <c r="D9" s="6"/>
      <c r="E9" s="7"/>
      <c r="F9" s="7"/>
      <c r="I9" t="s">
        <v>6</v>
      </c>
      <c r="J9" s="1">
        <f>D2</f>
        <v>12.333333333333334</v>
      </c>
      <c r="K9">
        <f>E2</f>
        <v>0.57735026918962573</v>
      </c>
    </row>
    <row r="10" spans="1:11">
      <c r="A10">
        <v>3</v>
      </c>
      <c r="B10">
        <v>3</v>
      </c>
      <c r="C10">
        <v>14</v>
      </c>
      <c r="D10" s="6"/>
      <c r="E10" s="7"/>
      <c r="F10" s="7"/>
      <c r="I10" t="s">
        <v>31</v>
      </c>
      <c r="J10" s="1">
        <f>D5</f>
        <v>14.333333333333334</v>
      </c>
      <c r="K10">
        <f>E5</f>
        <v>0.57735026918962573</v>
      </c>
    </row>
    <row r="11" spans="1:11">
      <c r="A11">
        <v>4</v>
      </c>
      <c r="B11">
        <v>1</v>
      </c>
      <c r="C11">
        <v>11</v>
      </c>
      <c r="D11" s="6">
        <f t="shared" ref="D11" si="6">AVERAGE(C11:C13)</f>
        <v>12</v>
      </c>
      <c r="E11" s="7">
        <f t="shared" ref="E11" si="7">STDEV(C11:C13)</f>
        <v>1</v>
      </c>
      <c r="F11" s="7">
        <f t="shared" ref="F11" si="8">E11/1.73</f>
        <v>0.5780346820809249</v>
      </c>
      <c r="I11" t="s">
        <v>32</v>
      </c>
      <c r="J11" s="1">
        <f>D8</f>
        <v>14.666666666666666</v>
      </c>
      <c r="K11">
        <f>E8</f>
        <v>0.57735026918962573</v>
      </c>
    </row>
    <row r="12" spans="1:11">
      <c r="A12">
        <v>4</v>
      </c>
      <c r="B12">
        <v>2</v>
      </c>
      <c r="C12">
        <v>13</v>
      </c>
      <c r="D12" s="6"/>
      <c r="E12" s="7"/>
      <c r="F12" s="7"/>
      <c r="I12" t="s">
        <v>33</v>
      </c>
      <c r="J12" s="1">
        <f>D11</f>
        <v>12</v>
      </c>
      <c r="K12">
        <f>E11</f>
        <v>1</v>
      </c>
    </row>
    <row r="13" spans="1:11">
      <c r="A13">
        <v>4</v>
      </c>
      <c r="B13">
        <v>3</v>
      </c>
      <c r="C13">
        <v>12</v>
      </c>
      <c r="D13" s="6"/>
      <c r="E13" s="7"/>
      <c r="F13" s="7"/>
      <c r="I13" t="s">
        <v>34</v>
      </c>
      <c r="J13" s="1">
        <f>D14</f>
        <v>13.666666666666666</v>
      </c>
      <c r="K13">
        <f>E14</f>
        <v>0.57735026918962573</v>
      </c>
    </row>
    <row r="14" spans="1:11">
      <c r="A14">
        <v>5</v>
      </c>
      <c r="B14">
        <v>1</v>
      </c>
      <c r="C14">
        <v>14</v>
      </c>
      <c r="D14" s="6">
        <f t="shared" ref="D14" si="9">AVERAGE(C14:C16)</f>
        <v>13.666666666666666</v>
      </c>
      <c r="E14" s="7">
        <f t="shared" ref="E14" si="10">STDEV(C14:C16)</f>
        <v>0.57735026918962573</v>
      </c>
      <c r="F14" s="7">
        <f t="shared" ref="F14" si="11">E14/1.73</f>
        <v>0.3337284793003617</v>
      </c>
      <c r="K14" s="2" t="s">
        <v>8</v>
      </c>
    </row>
    <row r="15" spans="1:11">
      <c r="A15">
        <v>5</v>
      </c>
      <c r="B15">
        <v>2</v>
      </c>
      <c r="C15">
        <v>14</v>
      </c>
      <c r="D15" s="6"/>
      <c r="E15" s="7"/>
      <c r="F15" s="7"/>
    </row>
    <row r="16" spans="1:11">
      <c r="A16">
        <v>5</v>
      </c>
      <c r="B16">
        <v>3</v>
      </c>
      <c r="C16">
        <v>13</v>
      </c>
      <c r="D16" s="6"/>
      <c r="E16" s="7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2340-CD4B-4BE3-B13A-8440BC2B3C42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14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 s="3" t="s">
        <v>13</v>
      </c>
      <c r="D2" s="6">
        <f>AVERAGE(C2:C4)</f>
        <v>4.6050000000000004</v>
      </c>
      <c r="E2" s="7">
        <f>STDEV(C2:C4)</f>
        <v>3.726452736853104</v>
      </c>
      <c r="F2" s="7">
        <f>E2/1.73</f>
        <v>2.1540189230364764</v>
      </c>
    </row>
    <row r="3" spans="1:11">
      <c r="A3">
        <v>1</v>
      </c>
      <c r="B3">
        <v>2</v>
      </c>
      <c r="C3">
        <v>1.97</v>
      </c>
      <c r="D3" s="6"/>
      <c r="E3" s="7"/>
      <c r="F3" s="7"/>
    </row>
    <row r="4" spans="1:11">
      <c r="A4">
        <v>1</v>
      </c>
      <c r="B4">
        <v>3</v>
      </c>
      <c r="C4">
        <v>7.24</v>
      </c>
      <c r="D4" s="6"/>
      <c r="E4" s="7"/>
      <c r="F4" s="7"/>
    </row>
    <row r="5" spans="1:11">
      <c r="A5">
        <v>2</v>
      </c>
      <c r="B5">
        <v>1</v>
      </c>
      <c r="C5">
        <v>5.13</v>
      </c>
      <c r="D5" s="6">
        <f t="shared" ref="D5" si="0">AVERAGE(C5:C7)</f>
        <v>3.4899999999999998</v>
      </c>
      <c r="E5" s="7">
        <f t="shared" ref="E5" si="1">STDEV(C5:C7)</f>
        <v>2.686186888509436</v>
      </c>
      <c r="F5" s="7">
        <f t="shared" ref="F5" si="2">E5/1.73</f>
        <v>1.5527091841095007</v>
      </c>
    </row>
    <row r="6" spans="1:11">
      <c r="A6">
        <v>2</v>
      </c>
      <c r="B6">
        <v>2</v>
      </c>
      <c r="C6">
        <v>0.39</v>
      </c>
      <c r="D6" s="6"/>
      <c r="E6" s="7"/>
      <c r="F6" s="7"/>
    </row>
    <row r="7" spans="1:11">
      <c r="A7">
        <v>2</v>
      </c>
      <c r="B7">
        <v>3</v>
      </c>
      <c r="C7">
        <v>4.95</v>
      </c>
      <c r="D7" s="6"/>
      <c r="E7" s="7"/>
      <c r="F7" s="7"/>
    </row>
    <row r="8" spans="1:11">
      <c r="A8">
        <v>3</v>
      </c>
      <c r="B8">
        <v>1</v>
      </c>
      <c r="C8">
        <v>2.73</v>
      </c>
      <c r="D8" s="6">
        <f t="shared" ref="D8" si="3">AVERAGE(C8:C10)</f>
        <v>2.6</v>
      </c>
      <c r="E8" s="7">
        <f t="shared" ref="E8" si="4">STDEV(C8:C10)</f>
        <v>1.2500799974401644</v>
      </c>
      <c r="F8" s="7">
        <f t="shared" ref="F8" si="5">E8/1.73</f>
        <v>0.72258959389604882</v>
      </c>
      <c r="I8" t="s">
        <v>0</v>
      </c>
      <c r="J8" t="s">
        <v>14</v>
      </c>
    </row>
    <row r="9" spans="1:11">
      <c r="A9">
        <v>3</v>
      </c>
      <c r="B9">
        <v>2</v>
      </c>
      <c r="C9">
        <v>3.78</v>
      </c>
      <c r="D9" s="6"/>
      <c r="E9" s="7"/>
      <c r="F9" s="7"/>
      <c r="I9" t="s">
        <v>6</v>
      </c>
      <c r="J9" s="1">
        <f>D2</f>
        <v>4.6050000000000004</v>
      </c>
      <c r="K9">
        <f>E2</f>
        <v>3.726452736853104</v>
      </c>
    </row>
    <row r="10" spans="1:11">
      <c r="A10">
        <v>3</v>
      </c>
      <c r="B10">
        <v>3</v>
      </c>
      <c r="C10">
        <v>1.29</v>
      </c>
      <c r="D10" s="6"/>
      <c r="E10" s="7"/>
      <c r="F10" s="7"/>
      <c r="I10" t="s">
        <v>9</v>
      </c>
      <c r="J10" s="1">
        <f>D5</f>
        <v>3.4899999999999998</v>
      </c>
      <c r="K10">
        <f>E5</f>
        <v>2.686186888509436</v>
      </c>
    </row>
    <row r="11" spans="1:11">
      <c r="A11">
        <v>4</v>
      </c>
      <c r="B11">
        <v>1</v>
      </c>
      <c r="C11">
        <v>4.2300000000000004</v>
      </c>
      <c r="D11" s="6">
        <f t="shared" ref="D11" si="6">AVERAGE(C11:C13)</f>
        <v>3.4000000000000004</v>
      </c>
      <c r="E11" s="7">
        <f t="shared" ref="E11" si="7">STDEV(C11:C13)</f>
        <v>2.0454583838347826</v>
      </c>
      <c r="F11" s="7">
        <f t="shared" ref="F11" si="8">E11/1.73</f>
        <v>1.182345886609701</v>
      </c>
      <c r="I11" t="s">
        <v>10</v>
      </c>
      <c r="J11" s="1">
        <f>D8</f>
        <v>2.6</v>
      </c>
      <c r="K11">
        <f>E8</f>
        <v>1.2500799974401644</v>
      </c>
    </row>
    <row r="12" spans="1:11">
      <c r="A12">
        <v>4</v>
      </c>
      <c r="B12">
        <v>2</v>
      </c>
      <c r="C12">
        <v>1.07</v>
      </c>
      <c r="D12" s="6"/>
      <c r="E12" s="7"/>
      <c r="F12" s="7"/>
      <c r="I12" t="s">
        <v>11</v>
      </c>
      <c r="J12" s="1">
        <f>D11</f>
        <v>3.4000000000000004</v>
      </c>
      <c r="K12">
        <f>E11</f>
        <v>2.0454583838347826</v>
      </c>
    </row>
    <row r="13" spans="1:11">
      <c r="A13">
        <v>4</v>
      </c>
      <c r="B13">
        <v>3</v>
      </c>
      <c r="C13">
        <v>4.9000000000000004</v>
      </c>
      <c r="D13" s="6"/>
      <c r="E13" s="7"/>
      <c r="F13" s="7"/>
      <c r="I13" t="s">
        <v>12</v>
      </c>
      <c r="J13" s="1">
        <f>D14</f>
        <v>1.07</v>
      </c>
      <c r="K13">
        <f>E14</f>
        <v>1.1170049238924598</v>
      </c>
    </row>
    <row r="14" spans="1:11">
      <c r="A14">
        <v>5</v>
      </c>
      <c r="B14">
        <v>1</v>
      </c>
      <c r="C14">
        <v>0.63</v>
      </c>
      <c r="D14" s="6">
        <f t="shared" ref="D14" si="9">AVERAGE(C14:C16)</f>
        <v>1.07</v>
      </c>
      <c r="E14" s="7">
        <f t="shared" ref="E14" si="10">STDEV(C14:C16)</f>
        <v>1.1170049238924598</v>
      </c>
      <c r="F14" s="7">
        <f t="shared" ref="F14" si="11">E14/1.73</f>
        <v>0.64566758606500563</v>
      </c>
    </row>
    <row r="15" spans="1:11">
      <c r="A15">
        <v>5</v>
      </c>
      <c r="B15">
        <v>2</v>
      </c>
      <c r="C15">
        <v>0.24</v>
      </c>
      <c r="D15" s="6"/>
      <c r="E15" s="7"/>
      <c r="F15" s="7"/>
    </row>
    <row r="16" spans="1:11">
      <c r="A16">
        <v>5</v>
      </c>
      <c r="B16">
        <v>3</v>
      </c>
      <c r="C16">
        <v>2.34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474D-2594-4106-AE97-A03B90325336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29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28</v>
      </c>
      <c r="D2" s="6">
        <f>AVERAGE(C2:C4)</f>
        <v>28</v>
      </c>
      <c r="E2" s="7">
        <f>STDEV(C2:C4)</f>
        <v>4</v>
      </c>
      <c r="F2" s="7">
        <f>E2/1.73</f>
        <v>2.3121387283236996</v>
      </c>
    </row>
    <row r="3" spans="1:11">
      <c r="A3">
        <v>1</v>
      </c>
      <c r="B3">
        <v>2</v>
      </c>
      <c r="C3">
        <v>24</v>
      </c>
      <c r="D3" s="6"/>
      <c r="E3" s="7"/>
      <c r="F3" s="7"/>
    </row>
    <row r="4" spans="1:11">
      <c r="A4">
        <v>1</v>
      </c>
      <c r="B4">
        <v>3</v>
      </c>
      <c r="C4">
        <v>32</v>
      </c>
      <c r="D4" s="6"/>
      <c r="E4" s="7"/>
      <c r="F4" s="7"/>
    </row>
    <row r="5" spans="1:11">
      <c r="A5">
        <v>2</v>
      </c>
      <c r="B5">
        <v>1</v>
      </c>
      <c r="C5">
        <v>22</v>
      </c>
      <c r="D5" s="6">
        <f t="shared" ref="D5" si="0">AVERAGE(C5:C7)</f>
        <v>24.666666666666668</v>
      </c>
      <c r="E5" s="7">
        <f t="shared" ref="E5" si="1">STDEV(C5:C7)</f>
        <v>2.3094010767585034</v>
      </c>
      <c r="F5" s="7">
        <f t="shared" ref="F5" si="2">E5/1.73</f>
        <v>1.334913917201447</v>
      </c>
    </row>
    <row r="6" spans="1:11">
      <c r="A6">
        <v>2</v>
      </c>
      <c r="B6">
        <v>2</v>
      </c>
      <c r="C6">
        <v>26</v>
      </c>
      <c r="D6" s="6"/>
      <c r="E6" s="7"/>
      <c r="F6" s="7"/>
    </row>
    <row r="7" spans="1:11">
      <c r="A7">
        <v>2</v>
      </c>
      <c r="B7">
        <v>3</v>
      </c>
      <c r="C7">
        <v>26</v>
      </c>
      <c r="D7" s="6"/>
      <c r="E7" s="7"/>
      <c r="F7" s="7"/>
    </row>
    <row r="8" spans="1:11">
      <c r="A8">
        <v>3</v>
      </c>
      <c r="B8">
        <v>1</v>
      </c>
      <c r="C8">
        <v>21</v>
      </c>
      <c r="D8" s="6">
        <f t="shared" ref="D8" si="3">AVERAGE(C8:C10)</f>
        <v>20.333333333333332</v>
      </c>
      <c r="E8" s="7">
        <f t="shared" ref="E8" si="4">STDEV(C8:C10)</f>
        <v>2.0816659994661331</v>
      </c>
      <c r="F8" s="7">
        <f t="shared" ref="F8" si="5">E8/1.73</f>
        <v>1.2032751442000769</v>
      </c>
      <c r="I8" t="s">
        <v>0</v>
      </c>
      <c r="J8" t="s">
        <v>15</v>
      </c>
    </row>
    <row r="9" spans="1:11">
      <c r="A9">
        <v>3</v>
      </c>
      <c r="B9">
        <v>2</v>
      </c>
      <c r="C9">
        <v>22</v>
      </c>
      <c r="D9" s="6"/>
      <c r="E9" s="7"/>
      <c r="F9" s="7"/>
      <c r="I9" t="s">
        <v>6</v>
      </c>
      <c r="J9" s="1">
        <f>D2</f>
        <v>28</v>
      </c>
      <c r="K9">
        <f>E2</f>
        <v>4</v>
      </c>
    </row>
    <row r="10" spans="1:11">
      <c r="A10">
        <v>3</v>
      </c>
      <c r="B10">
        <v>3</v>
      </c>
      <c r="C10">
        <v>18</v>
      </c>
      <c r="D10" s="6"/>
      <c r="E10" s="7"/>
      <c r="F10" s="7"/>
      <c r="I10" t="s">
        <v>9</v>
      </c>
      <c r="J10" s="1">
        <f>D5</f>
        <v>24.666666666666668</v>
      </c>
      <c r="K10">
        <f>E5</f>
        <v>2.3094010767585034</v>
      </c>
    </row>
    <row r="11" spans="1:11">
      <c r="A11">
        <v>4</v>
      </c>
      <c r="B11">
        <v>1</v>
      </c>
      <c r="C11">
        <v>24</v>
      </c>
      <c r="D11" s="6">
        <f t="shared" ref="D11" si="6">AVERAGE(C11:C13)</f>
        <v>17.333333333333332</v>
      </c>
      <c r="E11" s="7">
        <f t="shared" ref="E11" si="7">STDEV(C11:C13)</f>
        <v>6.1101009266077853</v>
      </c>
      <c r="F11" s="7">
        <f t="shared" ref="F11" si="8">E11/1.73</f>
        <v>3.5318502465940957</v>
      </c>
      <c r="I11" t="s">
        <v>10</v>
      </c>
      <c r="J11" s="1">
        <f>D8</f>
        <v>20.333333333333332</v>
      </c>
      <c r="K11">
        <f>E8</f>
        <v>2.0816659994661331</v>
      </c>
    </row>
    <row r="12" spans="1:11">
      <c r="A12">
        <v>4</v>
      </c>
      <c r="B12">
        <v>2</v>
      </c>
      <c r="C12">
        <v>16</v>
      </c>
      <c r="D12" s="6"/>
      <c r="E12" s="7"/>
      <c r="F12" s="7"/>
      <c r="I12" t="s">
        <v>11</v>
      </c>
      <c r="J12" s="1">
        <f>D11</f>
        <v>17.333333333333332</v>
      </c>
      <c r="K12">
        <f>E11</f>
        <v>6.1101009266077853</v>
      </c>
    </row>
    <row r="13" spans="1:11">
      <c r="A13">
        <v>4</v>
      </c>
      <c r="B13">
        <v>3</v>
      </c>
      <c r="C13">
        <v>12</v>
      </c>
      <c r="D13" s="6"/>
      <c r="E13" s="7"/>
      <c r="F13" s="7"/>
      <c r="I13" t="s">
        <v>12</v>
      </c>
      <c r="J13" s="1">
        <f>D14</f>
        <v>18</v>
      </c>
      <c r="K13">
        <f>E14</f>
        <v>8.8881944173155887</v>
      </c>
    </row>
    <row r="14" spans="1:11">
      <c r="A14">
        <v>5</v>
      </c>
      <c r="B14">
        <v>1</v>
      </c>
      <c r="C14">
        <v>28</v>
      </c>
      <c r="D14" s="6">
        <f t="shared" ref="D14" si="9">AVERAGE(C14:C16)</f>
        <v>18</v>
      </c>
      <c r="E14" s="7">
        <f t="shared" ref="E14" si="10">STDEV(C14:C16)</f>
        <v>8.8881944173155887</v>
      </c>
      <c r="F14" s="7">
        <f t="shared" ref="F14" si="11">E14/1.73</f>
        <v>5.1376846342864679</v>
      </c>
    </row>
    <row r="15" spans="1:11">
      <c r="A15">
        <v>5</v>
      </c>
      <c r="B15">
        <v>2</v>
      </c>
      <c r="C15">
        <v>15</v>
      </c>
      <c r="D15" s="6"/>
      <c r="E15" s="7"/>
      <c r="F15" s="7"/>
    </row>
    <row r="16" spans="1:11">
      <c r="A16">
        <v>5</v>
      </c>
      <c r="B16">
        <v>3</v>
      </c>
      <c r="C16">
        <v>11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B4B9-8DED-4B73-93B7-BCD80CB04959}">
  <dimension ref="A1:K16"/>
  <sheetViews>
    <sheetView zoomScale="83" zoomScaleNormal="115" workbookViewId="0">
      <selection activeCell="J8" sqref="J8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16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2.0099999999999998</v>
      </c>
      <c r="D2" s="6">
        <f>AVERAGE(C2:C4)</f>
        <v>2.6966666666666668</v>
      </c>
      <c r="E2" s="7">
        <f>STDEV(C2:C4)</f>
        <v>0.59601454120963582</v>
      </c>
      <c r="F2" s="7">
        <f>E2/1.73</f>
        <v>0.34451707584372016</v>
      </c>
    </row>
    <row r="3" spans="1:11">
      <c r="A3">
        <v>1</v>
      </c>
      <c r="B3">
        <v>2</v>
      </c>
      <c r="C3">
        <v>3</v>
      </c>
      <c r="D3" s="6"/>
      <c r="E3" s="7"/>
      <c r="F3" s="7"/>
    </row>
    <row r="4" spans="1:11">
      <c r="A4">
        <v>1</v>
      </c>
      <c r="B4">
        <v>3</v>
      </c>
      <c r="C4">
        <v>3.08</v>
      </c>
      <c r="D4" s="6"/>
      <c r="E4" s="7"/>
      <c r="F4" s="7"/>
    </row>
    <row r="5" spans="1:11">
      <c r="A5">
        <v>2</v>
      </c>
      <c r="B5">
        <v>1</v>
      </c>
      <c r="C5">
        <v>3.1</v>
      </c>
      <c r="D5" s="6">
        <f t="shared" ref="D5" si="0">AVERAGE(C5:C7)</f>
        <v>3.2833333333333332</v>
      </c>
      <c r="E5" s="7">
        <f t="shared" ref="E5" si="1">STDEV(C5:C7)</f>
        <v>0.31754264805429405</v>
      </c>
      <c r="F5" s="7">
        <f t="shared" ref="F5" si="2">E5/1.73</f>
        <v>0.18355066361519887</v>
      </c>
    </row>
    <row r="6" spans="1:11">
      <c r="A6">
        <v>2</v>
      </c>
      <c r="B6">
        <v>2</v>
      </c>
      <c r="C6">
        <v>3.1</v>
      </c>
      <c r="D6" s="6"/>
      <c r="E6" s="7"/>
      <c r="F6" s="7"/>
    </row>
    <row r="7" spans="1:11">
      <c r="A7">
        <v>2</v>
      </c>
      <c r="B7">
        <v>3</v>
      </c>
      <c r="C7">
        <v>3.65</v>
      </c>
      <c r="D7" s="6"/>
      <c r="E7" s="7"/>
      <c r="F7" s="7"/>
    </row>
    <row r="8" spans="1:11">
      <c r="A8">
        <v>3</v>
      </c>
      <c r="B8">
        <v>1</v>
      </c>
      <c r="C8">
        <v>3.6</v>
      </c>
      <c r="D8" s="6">
        <f t="shared" ref="D8" si="3">AVERAGE(C8:C10)</f>
        <v>3.6999999999999997</v>
      </c>
      <c r="E8" s="7">
        <f t="shared" ref="E8" si="4">STDEV(C8:C10)</f>
        <v>0.26457513110645903</v>
      </c>
      <c r="F8" s="7">
        <f t="shared" ref="F8" si="5">E8/1.73</f>
        <v>0.15293360179564106</v>
      </c>
      <c r="I8" t="s">
        <v>0</v>
      </c>
      <c r="J8" t="s">
        <v>16</v>
      </c>
    </row>
    <row r="9" spans="1:11">
      <c r="A9">
        <v>3</v>
      </c>
      <c r="B9">
        <v>2</v>
      </c>
      <c r="C9">
        <v>3.5</v>
      </c>
      <c r="D9" s="6"/>
      <c r="E9" s="7"/>
      <c r="F9" s="7"/>
      <c r="I9" t="s">
        <v>6</v>
      </c>
      <c r="J9" s="1">
        <f>D2</f>
        <v>2.6966666666666668</v>
      </c>
      <c r="K9">
        <f>E2</f>
        <v>0.59601454120963582</v>
      </c>
    </row>
    <row r="10" spans="1:11">
      <c r="A10">
        <v>3</v>
      </c>
      <c r="B10">
        <v>3</v>
      </c>
      <c r="C10">
        <v>4</v>
      </c>
      <c r="D10" s="6"/>
      <c r="E10" s="7"/>
      <c r="F10" s="7"/>
      <c r="I10" t="s">
        <v>9</v>
      </c>
      <c r="J10" s="1">
        <f>D5</f>
        <v>3.2833333333333332</v>
      </c>
      <c r="K10">
        <f>E5</f>
        <v>0.31754264805429405</v>
      </c>
    </row>
    <row r="11" spans="1:11">
      <c r="A11">
        <v>4</v>
      </c>
      <c r="B11">
        <v>1</v>
      </c>
      <c r="C11">
        <v>3.9</v>
      </c>
      <c r="D11" s="6">
        <f t="shared" ref="D11" si="6">AVERAGE(C11:C13)</f>
        <v>3.56</v>
      </c>
      <c r="E11" s="7">
        <f t="shared" ref="E11" si="7">STDEV(C11:C13)</f>
        <v>0.50477717856495796</v>
      </c>
      <c r="F11" s="7">
        <f t="shared" ref="F11" si="8">E11/1.73</f>
        <v>0.29177871593350174</v>
      </c>
      <c r="I11" t="s">
        <v>10</v>
      </c>
      <c r="J11" s="1">
        <f>D8</f>
        <v>3.6999999999999997</v>
      </c>
      <c r="K11">
        <f>E8</f>
        <v>0.26457513110645903</v>
      </c>
    </row>
    <row r="12" spans="1:11">
      <c r="A12">
        <v>4</v>
      </c>
      <c r="B12">
        <v>2</v>
      </c>
      <c r="C12">
        <v>3.8</v>
      </c>
      <c r="D12" s="6"/>
      <c r="E12" s="7"/>
      <c r="F12" s="7"/>
      <c r="I12" t="s">
        <v>11</v>
      </c>
      <c r="J12" s="1">
        <f>D11</f>
        <v>3.56</v>
      </c>
      <c r="K12">
        <f>E11</f>
        <v>0.50477717856495796</v>
      </c>
    </row>
    <row r="13" spans="1:11">
      <c r="A13">
        <v>4</v>
      </c>
      <c r="B13">
        <v>3</v>
      </c>
      <c r="C13">
        <v>2.98</v>
      </c>
      <c r="D13" s="6"/>
      <c r="E13" s="7"/>
      <c r="F13" s="7"/>
      <c r="I13" t="s">
        <v>12</v>
      </c>
      <c r="J13" s="1">
        <f>D14</f>
        <v>3.6666666666666665</v>
      </c>
      <c r="K13">
        <f>E14</f>
        <v>0.66583281184793797</v>
      </c>
    </row>
    <row r="14" spans="1:11">
      <c r="A14">
        <v>5</v>
      </c>
      <c r="B14">
        <v>1</v>
      </c>
      <c r="C14">
        <v>2.9</v>
      </c>
      <c r="D14" s="6">
        <f t="shared" ref="D14" si="9">AVERAGE(C14:C16)</f>
        <v>3.6666666666666665</v>
      </c>
      <c r="E14" s="7">
        <f t="shared" ref="E14" si="10">STDEV(C14:C16)</f>
        <v>0.66583281184793797</v>
      </c>
      <c r="F14" s="7">
        <f t="shared" ref="F14" si="11">E14/1.73</f>
        <v>0.38487445771557111</v>
      </c>
    </row>
    <row r="15" spans="1:11">
      <c r="A15">
        <v>5</v>
      </c>
      <c r="B15">
        <v>2</v>
      </c>
      <c r="C15">
        <v>4</v>
      </c>
      <c r="D15" s="6"/>
      <c r="E15" s="7"/>
      <c r="F15" s="7"/>
    </row>
    <row r="16" spans="1:11">
      <c r="A16">
        <v>5</v>
      </c>
      <c r="B16">
        <v>3</v>
      </c>
      <c r="C16">
        <v>4.0999999999999996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2AF0-16A6-4B39-87FB-8E571EBB2CCD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17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0.68</v>
      </c>
      <c r="D2" s="6">
        <f>AVERAGE(C2:C4)</f>
        <v>0.78666666666666674</v>
      </c>
      <c r="E2" s="7">
        <f>STDEV(C2:C4)</f>
        <v>0.10503967504392438</v>
      </c>
      <c r="F2" s="7">
        <f>E2/1.73</f>
        <v>6.0716575169898486E-2</v>
      </c>
    </row>
    <row r="3" spans="1:11">
      <c r="A3">
        <v>1</v>
      </c>
      <c r="B3">
        <v>2</v>
      </c>
      <c r="C3">
        <v>0.89</v>
      </c>
      <c r="D3" s="6"/>
      <c r="E3" s="7"/>
      <c r="F3" s="7"/>
    </row>
    <row r="4" spans="1:11">
      <c r="A4">
        <v>1</v>
      </c>
      <c r="B4">
        <v>3</v>
      </c>
      <c r="C4">
        <v>0.79</v>
      </c>
      <c r="D4" s="6"/>
      <c r="E4" s="7"/>
      <c r="F4" s="7"/>
    </row>
    <row r="5" spans="1:11">
      <c r="A5">
        <v>2</v>
      </c>
      <c r="B5">
        <v>1</v>
      </c>
      <c r="C5">
        <v>1.2</v>
      </c>
      <c r="D5" s="6">
        <f t="shared" ref="D5" si="0">AVERAGE(C5:C7)</f>
        <v>1.0733333333333335</v>
      </c>
      <c r="E5" s="7">
        <f t="shared" ref="E5" si="1">STDEV(C5:C7)</f>
        <v>0.15534906930308059</v>
      </c>
      <c r="F5" s="7">
        <f t="shared" ref="F5" si="2">E5/1.73</f>
        <v>8.9797149886173752E-2</v>
      </c>
    </row>
    <row r="6" spans="1:11">
      <c r="A6">
        <v>2</v>
      </c>
      <c r="B6">
        <v>2</v>
      </c>
      <c r="C6">
        <v>0.9</v>
      </c>
      <c r="D6" s="6"/>
      <c r="E6" s="7"/>
      <c r="F6" s="7"/>
    </row>
    <row r="7" spans="1:11">
      <c r="A7">
        <v>2</v>
      </c>
      <c r="B7">
        <v>3</v>
      </c>
      <c r="C7">
        <v>1.1200000000000001</v>
      </c>
      <c r="D7" s="6"/>
      <c r="E7" s="7"/>
      <c r="F7" s="7"/>
    </row>
    <row r="8" spans="1:11">
      <c r="A8">
        <v>3</v>
      </c>
      <c r="B8">
        <v>1</v>
      </c>
      <c r="C8">
        <v>1.3</v>
      </c>
      <c r="D8" s="6">
        <f t="shared" ref="D8" si="3">AVERAGE(C8:C10)</f>
        <v>1.2000000000000002</v>
      </c>
      <c r="E8" s="7">
        <f t="shared" ref="E8" si="4">STDEV(C8:C10)</f>
        <v>0.15620499351813161</v>
      </c>
      <c r="F8" s="7">
        <f t="shared" ref="F8" si="5">E8/1.73</f>
        <v>9.0291903767706128E-2</v>
      </c>
      <c r="I8" t="s">
        <v>0</v>
      </c>
      <c r="J8" t="s">
        <v>17</v>
      </c>
    </row>
    <row r="9" spans="1:11">
      <c r="A9">
        <v>3</v>
      </c>
      <c r="B9">
        <v>2</v>
      </c>
      <c r="C9">
        <v>1.02</v>
      </c>
      <c r="D9" s="6"/>
      <c r="E9" s="7"/>
      <c r="F9" s="7"/>
      <c r="I9" t="s">
        <v>6</v>
      </c>
      <c r="J9" s="1">
        <f>D2</f>
        <v>0.78666666666666674</v>
      </c>
      <c r="K9">
        <f>E2</f>
        <v>0.10503967504392438</v>
      </c>
    </row>
    <row r="10" spans="1:11">
      <c r="A10">
        <v>3</v>
      </c>
      <c r="B10">
        <v>3</v>
      </c>
      <c r="C10">
        <v>1.28</v>
      </c>
      <c r="D10" s="6"/>
      <c r="E10" s="7"/>
      <c r="F10" s="7"/>
      <c r="I10" t="s">
        <v>9</v>
      </c>
      <c r="J10" s="1">
        <f>D5</f>
        <v>1.0733333333333335</v>
      </c>
      <c r="K10">
        <f>E5</f>
        <v>0.15534906930308059</v>
      </c>
    </row>
    <row r="11" spans="1:11">
      <c r="A11">
        <v>4</v>
      </c>
      <c r="B11">
        <v>1</v>
      </c>
      <c r="C11">
        <v>1.22</v>
      </c>
      <c r="D11" s="6">
        <f t="shared" ref="D11" si="6">AVERAGE(C11:C13)</f>
        <v>1.5733333333333333</v>
      </c>
      <c r="E11" s="7">
        <f t="shared" ref="E11" si="7">STDEV(C11:C13)</f>
        <v>0.31005375877956043</v>
      </c>
      <c r="F11" s="7">
        <f t="shared" ref="F11" si="8">E11/1.73</f>
        <v>0.17922182588413899</v>
      </c>
      <c r="I11" t="s">
        <v>10</v>
      </c>
      <c r="J11" s="1">
        <f>D8</f>
        <v>1.2000000000000002</v>
      </c>
      <c r="K11">
        <f>E8</f>
        <v>0.15620499351813161</v>
      </c>
    </row>
    <row r="12" spans="1:11">
      <c r="A12">
        <v>4</v>
      </c>
      <c r="B12">
        <v>2</v>
      </c>
      <c r="C12">
        <v>1.8</v>
      </c>
      <c r="D12" s="6"/>
      <c r="E12" s="7"/>
      <c r="F12" s="7"/>
      <c r="I12" t="s">
        <v>11</v>
      </c>
      <c r="J12" s="1">
        <f>D11</f>
        <v>1.5733333333333333</v>
      </c>
      <c r="K12">
        <f>E11</f>
        <v>0.31005375877956043</v>
      </c>
    </row>
    <row r="13" spans="1:11">
      <c r="A13">
        <v>4</v>
      </c>
      <c r="B13">
        <v>3</v>
      </c>
      <c r="C13">
        <v>1.7</v>
      </c>
      <c r="D13" s="6"/>
      <c r="E13" s="7"/>
      <c r="F13" s="7"/>
      <c r="I13" t="s">
        <v>12</v>
      </c>
      <c r="J13" s="1">
        <f>D14</f>
        <v>1.7</v>
      </c>
      <c r="K13">
        <f>E14</f>
        <v>0.26457513110645958</v>
      </c>
    </row>
    <row r="14" spans="1:11">
      <c r="A14">
        <v>5</v>
      </c>
      <c r="B14">
        <v>1</v>
      </c>
      <c r="C14">
        <v>1.8</v>
      </c>
      <c r="D14" s="6">
        <f t="shared" ref="D14" si="9">AVERAGE(C14:C16)</f>
        <v>1.7</v>
      </c>
      <c r="E14" s="7">
        <f t="shared" ref="E14" si="10">STDEV(C14:C16)</f>
        <v>0.26457513110645958</v>
      </c>
      <c r="F14" s="7">
        <f t="shared" ref="F14" si="11">E14/1.73</f>
        <v>0.15293360179564139</v>
      </c>
    </row>
    <row r="15" spans="1:11">
      <c r="A15">
        <v>5</v>
      </c>
      <c r="B15">
        <v>2</v>
      </c>
      <c r="C15">
        <v>1.4</v>
      </c>
      <c r="D15" s="6"/>
      <c r="E15" s="7"/>
      <c r="F15" s="7"/>
    </row>
    <row r="16" spans="1:11">
      <c r="A16">
        <v>5</v>
      </c>
      <c r="B16">
        <v>3</v>
      </c>
      <c r="C16">
        <v>1.9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E82E-C44D-4C61-BB92-E28C40E3BFA2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18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14</v>
      </c>
      <c r="D2" s="6">
        <f>AVERAGE(C2:C4)</f>
        <v>14.9</v>
      </c>
      <c r="E2" s="7">
        <f>STDEV(C2:C4)</f>
        <v>0.78102496759066575</v>
      </c>
      <c r="F2" s="7">
        <f>E2/1.73</f>
        <v>0.45145951883853513</v>
      </c>
    </row>
    <row r="3" spans="1:11">
      <c r="A3">
        <v>1</v>
      </c>
      <c r="B3">
        <v>2</v>
      </c>
      <c r="C3">
        <v>15.4</v>
      </c>
      <c r="D3" s="6"/>
      <c r="E3" s="7"/>
      <c r="F3" s="7"/>
    </row>
    <row r="4" spans="1:11">
      <c r="A4">
        <v>1</v>
      </c>
      <c r="B4">
        <v>3</v>
      </c>
      <c r="C4">
        <v>15.3</v>
      </c>
      <c r="D4" s="6"/>
      <c r="E4" s="7"/>
      <c r="F4" s="7"/>
    </row>
    <row r="5" spans="1:11">
      <c r="A5">
        <v>2</v>
      </c>
      <c r="B5">
        <v>1</v>
      </c>
      <c r="C5">
        <v>24.4</v>
      </c>
      <c r="D5" s="6">
        <f t="shared" ref="D5" si="0">AVERAGE(C5:C7)</f>
        <v>23.866666666666664</v>
      </c>
      <c r="E5" s="7">
        <f t="shared" ref="E5" si="1">STDEV(C5:C7)</f>
        <v>1.4742229591663989</v>
      </c>
      <c r="F5" s="7">
        <f t="shared" ref="F5" si="2">E5/1.73</f>
        <v>0.85215199951814968</v>
      </c>
    </row>
    <row r="6" spans="1:11">
      <c r="A6">
        <v>2</v>
      </c>
      <c r="B6">
        <v>2</v>
      </c>
      <c r="C6">
        <v>25</v>
      </c>
      <c r="D6" s="6"/>
      <c r="E6" s="7"/>
      <c r="F6" s="7"/>
    </row>
    <row r="7" spans="1:11">
      <c r="A7">
        <v>2</v>
      </c>
      <c r="B7">
        <v>3</v>
      </c>
      <c r="C7">
        <v>22.2</v>
      </c>
      <c r="D7" s="6"/>
      <c r="E7" s="7"/>
      <c r="F7" s="7"/>
    </row>
    <row r="8" spans="1:11">
      <c r="A8">
        <v>3</v>
      </c>
      <c r="B8">
        <v>1</v>
      </c>
      <c r="C8">
        <v>25.7</v>
      </c>
      <c r="D8" s="6">
        <f t="shared" ref="D8" si="3">AVERAGE(C8:C10)</f>
        <v>24.766666666666666</v>
      </c>
      <c r="E8" s="7">
        <f t="shared" ref="E8" si="4">STDEV(C8:C10)</f>
        <v>0.86216781042517032</v>
      </c>
      <c r="F8" s="7">
        <f t="shared" ref="F8" si="5">E8/1.73</f>
        <v>0.4983628961995204</v>
      </c>
      <c r="I8" t="s">
        <v>0</v>
      </c>
      <c r="J8" t="s">
        <v>18</v>
      </c>
    </row>
    <row r="9" spans="1:11">
      <c r="A9">
        <v>3</v>
      </c>
      <c r="B9">
        <v>2</v>
      </c>
      <c r="C9">
        <v>24.6</v>
      </c>
      <c r="D9" s="6"/>
      <c r="E9" s="7"/>
      <c r="F9" s="7"/>
      <c r="I9" t="s">
        <v>6</v>
      </c>
      <c r="J9" s="1">
        <f>D2</f>
        <v>14.9</v>
      </c>
      <c r="K9">
        <f>E2</f>
        <v>0.78102496759066575</v>
      </c>
    </row>
    <row r="10" spans="1:11">
      <c r="A10">
        <v>3</v>
      </c>
      <c r="B10">
        <v>3</v>
      </c>
      <c r="C10">
        <v>24</v>
      </c>
      <c r="D10" s="6"/>
      <c r="E10" s="7"/>
      <c r="F10" s="7"/>
      <c r="I10" t="s">
        <v>9</v>
      </c>
      <c r="J10" s="1">
        <f>D5</f>
        <v>23.866666666666664</v>
      </c>
      <c r="K10">
        <f>E5</f>
        <v>1.4742229591663989</v>
      </c>
    </row>
    <row r="11" spans="1:11">
      <c r="A11">
        <v>4</v>
      </c>
      <c r="B11">
        <v>1</v>
      </c>
      <c r="C11">
        <v>24</v>
      </c>
      <c r="D11" s="6">
        <f t="shared" ref="D11" si="6">AVERAGE(C11:C13)</f>
        <v>22.7</v>
      </c>
      <c r="E11" s="7">
        <f t="shared" ref="E11" si="7">STDEV(C11:C13)</f>
        <v>1.1532562594670792</v>
      </c>
      <c r="F11" s="7">
        <f t="shared" ref="F11" si="8">E11/1.73</f>
        <v>0.66662211529888971</v>
      </c>
      <c r="I11" t="s">
        <v>10</v>
      </c>
      <c r="J11" s="1">
        <f>D8</f>
        <v>24.766666666666666</v>
      </c>
      <c r="K11">
        <f>E8</f>
        <v>0.86216781042517032</v>
      </c>
    </row>
    <row r="12" spans="1:11">
      <c r="A12">
        <v>4</v>
      </c>
      <c r="B12">
        <v>2</v>
      </c>
      <c r="C12">
        <v>22.3</v>
      </c>
      <c r="D12" s="6"/>
      <c r="E12" s="7"/>
      <c r="F12" s="7"/>
      <c r="I12" t="s">
        <v>11</v>
      </c>
      <c r="J12" s="1">
        <f>D11</f>
        <v>22.7</v>
      </c>
      <c r="K12">
        <f>E11</f>
        <v>1.1532562594670792</v>
      </c>
    </row>
    <row r="13" spans="1:11">
      <c r="A13">
        <v>4</v>
      </c>
      <c r="B13">
        <v>3</v>
      </c>
      <c r="C13">
        <v>21.8</v>
      </c>
      <c r="D13" s="6"/>
      <c r="E13" s="7"/>
      <c r="F13" s="7"/>
      <c r="I13" t="s">
        <v>12</v>
      </c>
      <c r="J13" s="1">
        <f>D14</f>
        <v>28.7</v>
      </c>
      <c r="K13">
        <f>E14</f>
        <v>1.2124355652982151</v>
      </c>
    </row>
    <row r="14" spans="1:11">
      <c r="A14">
        <v>5</v>
      </c>
      <c r="B14">
        <v>1</v>
      </c>
      <c r="C14">
        <v>28.9</v>
      </c>
      <c r="D14" s="6">
        <f t="shared" ref="D14" si="9">AVERAGE(C14:C16)</f>
        <v>28.7</v>
      </c>
      <c r="E14" s="7">
        <f t="shared" ref="E14" si="10">STDEV(C14:C16)</f>
        <v>1.2124355652982151</v>
      </c>
      <c r="F14" s="7">
        <f t="shared" ref="F14" si="11">E14/1.73</f>
        <v>0.7008298065307601</v>
      </c>
    </row>
    <row r="15" spans="1:11">
      <c r="A15">
        <v>5</v>
      </c>
      <c r="B15">
        <v>2</v>
      </c>
      <c r="C15">
        <v>29.8</v>
      </c>
      <c r="D15" s="6"/>
      <c r="E15" s="7"/>
      <c r="F15" s="7"/>
    </row>
    <row r="16" spans="1:11">
      <c r="A16">
        <v>5</v>
      </c>
      <c r="B16">
        <v>3</v>
      </c>
      <c r="C16">
        <v>27.4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F418-3FED-43A6-B6C8-3E3A43CED8D9}">
  <dimension ref="A1:K16"/>
  <sheetViews>
    <sheetView tabSelected="1" topLeftCell="A21" zoomScale="83" zoomScaleNormal="115" workbookViewId="0">
      <selection activeCell="E35" sqref="E35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19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9.8000000000000007</v>
      </c>
      <c r="D2" s="6">
        <f>AVERAGE(C2:C4)</f>
        <v>10.533333333333333</v>
      </c>
      <c r="E2" s="7">
        <f>STDEV(C2:C4)</f>
        <v>0.64291005073286345</v>
      </c>
      <c r="F2" s="7">
        <f>E2/1.73</f>
        <v>0.37162430678200198</v>
      </c>
    </row>
    <row r="3" spans="1:11">
      <c r="A3">
        <v>1</v>
      </c>
      <c r="B3">
        <v>2</v>
      </c>
      <c r="C3">
        <v>10.8</v>
      </c>
      <c r="D3" s="6"/>
      <c r="E3" s="7"/>
      <c r="F3" s="7"/>
    </row>
    <row r="4" spans="1:11">
      <c r="A4">
        <v>1</v>
      </c>
      <c r="B4">
        <v>3</v>
      </c>
      <c r="C4">
        <v>11</v>
      </c>
      <c r="D4" s="6"/>
      <c r="E4" s="7"/>
      <c r="F4" s="7"/>
    </row>
    <row r="5" spans="1:11">
      <c r="A5">
        <v>2</v>
      </c>
      <c r="B5">
        <v>1</v>
      </c>
      <c r="C5">
        <v>11.3</v>
      </c>
      <c r="D5" s="6">
        <f t="shared" ref="D5" si="0">AVERAGE(C5:C7)</f>
        <v>12.233333333333334</v>
      </c>
      <c r="E5" s="7">
        <f t="shared" ref="E5" si="1">STDEV(C5:C7)</f>
        <v>0.86216781042517054</v>
      </c>
      <c r="F5" s="7">
        <f t="shared" ref="F5" si="2">E5/1.73</f>
        <v>0.49836289619952057</v>
      </c>
    </row>
    <row r="6" spans="1:11">
      <c r="A6">
        <v>2</v>
      </c>
      <c r="B6">
        <v>2</v>
      </c>
      <c r="C6">
        <v>13</v>
      </c>
      <c r="D6" s="6"/>
      <c r="E6" s="7"/>
      <c r="F6" s="7"/>
    </row>
    <row r="7" spans="1:11">
      <c r="A7">
        <v>2</v>
      </c>
      <c r="B7">
        <v>3</v>
      </c>
      <c r="C7">
        <v>12.4</v>
      </c>
      <c r="D7" s="6"/>
      <c r="E7" s="7"/>
      <c r="F7" s="7"/>
    </row>
    <row r="8" spans="1:11">
      <c r="A8">
        <v>3</v>
      </c>
      <c r="B8">
        <v>1</v>
      </c>
      <c r="C8">
        <v>13.2</v>
      </c>
      <c r="D8" s="6">
        <f t="shared" ref="D8" si="3">AVERAGE(C8:C10)</f>
        <v>11.866666666666667</v>
      </c>
      <c r="E8" s="7">
        <f t="shared" ref="E8" si="4">STDEV(C8:C10)</f>
        <v>1.1718930554164626</v>
      </c>
      <c r="F8" s="7">
        <f t="shared" ref="F8" si="5">E8/1.73</f>
        <v>0.67739482972049858</v>
      </c>
      <c r="I8" t="s">
        <v>0</v>
      </c>
      <c r="J8" t="s">
        <v>19</v>
      </c>
    </row>
    <row r="9" spans="1:11">
      <c r="A9">
        <v>3</v>
      </c>
      <c r="B9">
        <v>2</v>
      </c>
      <c r="C9">
        <v>11.4</v>
      </c>
      <c r="D9" s="6"/>
      <c r="E9" s="7"/>
      <c r="F9" s="7"/>
      <c r="I9" t="s">
        <v>6</v>
      </c>
      <c r="J9" s="1">
        <f>D2</f>
        <v>10.533333333333333</v>
      </c>
      <c r="K9">
        <f>E2</f>
        <v>0.64291005073286345</v>
      </c>
    </row>
    <row r="10" spans="1:11">
      <c r="A10">
        <v>3</v>
      </c>
      <c r="B10">
        <v>3</v>
      </c>
      <c r="C10">
        <v>11</v>
      </c>
      <c r="D10" s="6"/>
      <c r="E10" s="7"/>
      <c r="F10" s="7"/>
      <c r="I10" t="s">
        <v>9</v>
      </c>
      <c r="J10" s="1">
        <f>D5</f>
        <v>12.233333333333334</v>
      </c>
      <c r="K10">
        <f>E5</f>
        <v>0.86216781042517054</v>
      </c>
    </row>
    <row r="11" spans="1:11">
      <c r="A11">
        <v>4</v>
      </c>
      <c r="B11">
        <v>1</v>
      </c>
      <c r="C11">
        <v>14</v>
      </c>
      <c r="D11" s="6">
        <f t="shared" ref="D11" si="6">AVERAGE(C11:C13)</f>
        <v>12.266666666666666</v>
      </c>
      <c r="E11" s="7">
        <f t="shared" ref="E11" si="7">STDEV(C11:C13)</f>
        <v>1.6165807537309642</v>
      </c>
      <c r="F11" s="7">
        <f t="shared" ref="F11" si="8">E11/1.73</f>
        <v>0.93443974204101976</v>
      </c>
      <c r="I11" t="s">
        <v>10</v>
      </c>
      <c r="J11" s="1">
        <f>D8</f>
        <v>11.866666666666667</v>
      </c>
      <c r="K11">
        <f>E8</f>
        <v>1.1718930554164626</v>
      </c>
    </row>
    <row r="12" spans="1:11">
      <c r="A12">
        <v>4</v>
      </c>
      <c r="B12">
        <v>2</v>
      </c>
      <c r="C12">
        <v>10.8</v>
      </c>
      <c r="D12" s="6"/>
      <c r="E12" s="7"/>
      <c r="F12" s="7"/>
      <c r="I12" t="s">
        <v>11</v>
      </c>
      <c r="J12" s="1">
        <f>D11</f>
        <v>12.266666666666666</v>
      </c>
      <c r="K12">
        <f>E11</f>
        <v>1.6165807537309642</v>
      </c>
    </row>
    <row r="13" spans="1:11">
      <c r="A13">
        <v>4</v>
      </c>
      <c r="B13">
        <v>3</v>
      </c>
      <c r="C13">
        <v>12</v>
      </c>
      <c r="D13" s="6"/>
      <c r="E13" s="7"/>
      <c r="F13" s="7"/>
      <c r="I13" t="s">
        <v>12</v>
      </c>
      <c r="J13" s="1">
        <f>D14</f>
        <v>14.200000000000001</v>
      </c>
      <c r="K13">
        <f>E14</f>
        <v>1.1532562594670792</v>
      </c>
    </row>
    <row r="14" spans="1:11">
      <c r="A14">
        <v>5</v>
      </c>
      <c r="B14">
        <v>1</v>
      </c>
      <c r="C14">
        <v>15.1</v>
      </c>
      <c r="D14" s="6">
        <f t="shared" ref="D14" si="9">AVERAGE(C14:C16)</f>
        <v>14.200000000000001</v>
      </c>
      <c r="E14" s="7">
        <f t="shared" ref="E14" si="10">STDEV(C14:C16)</f>
        <v>1.1532562594670792</v>
      </c>
      <c r="F14" s="7">
        <f t="shared" ref="F14" si="11">E14/1.73</f>
        <v>0.66662211529888971</v>
      </c>
    </row>
    <row r="15" spans="1:11">
      <c r="A15">
        <v>5</v>
      </c>
      <c r="B15">
        <v>2</v>
      </c>
      <c r="C15">
        <v>12.9</v>
      </c>
      <c r="D15" s="6"/>
      <c r="E15" s="7"/>
      <c r="F15" s="7"/>
    </row>
    <row r="16" spans="1:11">
      <c r="A16">
        <v>5</v>
      </c>
      <c r="B16">
        <v>3</v>
      </c>
      <c r="C16">
        <v>14.6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68FA-467F-45D6-ACDA-122C417EA1D9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20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1</v>
      </c>
      <c r="D2" s="6">
        <f>AVERAGE(C2:C4)</f>
        <v>1.3333333333333333</v>
      </c>
      <c r="E2" s="7">
        <f>STDEV(C2:C4)</f>
        <v>0.57735026918962584</v>
      </c>
      <c r="F2" s="7">
        <f>E2/1.73</f>
        <v>0.33372847930036176</v>
      </c>
    </row>
    <row r="3" spans="1:11">
      <c r="A3">
        <v>1</v>
      </c>
      <c r="B3">
        <v>2</v>
      </c>
      <c r="C3">
        <v>2</v>
      </c>
      <c r="D3" s="6"/>
      <c r="E3" s="7"/>
      <c r="F3" s="7"/>
    </row>
    <row r="4" spans="1:11">
      <c r="A4">
        <v>1</v>
      </c>
      <c r="B4">
        <v>3</v>
      </c>
      <c r="C4">
        <v>1</v>
      </c>
      <c r="D4" s="6"/>
      <c r="E4" s="7"/>
      <c r="F4" s="7"/>
    </row>
    <row r="5" spans="1:11">
      <c r="A5">
        <v>2</v>
      </c>
      <c r="B5">
        <v>1</v>
      </c>
      <c r="C5">
        <v>3</v>
      </c>
      <c r="D5" s="6">
        <f t="shared" ref="D5" si="0">AVERAGE(C5:C7)</f>
        <v>2</v>
      </c>
      <c r="E5" s="7">
        <f t="shared" ref="E5" si="1">STDEV(C5:C7)</f>
        <v>1</v>
      </c>
      <c r="F5" s="7">
        <f t="shared" ref="F5" si="2">E5/1.73</f>
        <v>0.5780346820809249</v>
      </c>
    </row>
    <row r="6" spans="1:11">
      <c r="A6">
        <v>2</v>
      </c>
      <c r="B6">
        <v>2</v>
      </c>
      <c r="C6">
        <v>2</v>
      </c>
      <c r="D6" s="6"/>
      <c r="E6" s="7"/>
      <c r="F6" s="7"/>
    </row>
    <row r="7" spans="1:11">
      <c r="A7">
        <v>2</v>
      </c>
      <c r="B7">
        <v>3</v>
      </c>
      <c r="C7">
        <v>1</v>
      </c>
      <c r="D7" s="6"/>
      <c r="E7" s="7"/>
      <c r="F7" s="7"/>
    </row>
    <row r="8" spans="1:11">
      <c r="A8">
        <v>3</v>
      </c>
      <c r="B8">
        <v>1</v>
      </c>
      <c r="C8">
        <v>3</v>
      </c>
      <c r="D8" s="6">
        <f t="shared" ref="D8" si="3">AVERAGE(C8:C10)</f>
        <v>1.6666666666666667</v>
      </c>
      <c r="E8" s="7">
        <f t="shared" ref="E8" si="4">STDEV(C8:C10)</f>
        <v>1.1547005383792515</v>
      </c>
      <c r="F8" s="7">
        <f t="shared" ref="F8" si="5">E8/1.73</f>
        <v>0.6674569586007234</v>
      </c>
      <c r="I8" t="s">
        <v>0</v>
      </c>
      <c r="J8" t="s">
        <v>20</v>
      </c>
    </row>
    <row r="9" spans="1:11">
      <c r="A9">
        <v>3</v>
      </c>
      <c r="B9">
        <v>2</v>
      </c>
      <c r="C9">
        <v>1</v>
      </c>
      <c r="D9" s="6"/>
      <c r="E9" s="7"/>
      <c r="F9" s="7"/>
      <c r="I9" t="s">
        <v>6</v>
      </c>
      <c r="J9" s="1">
        <f>D2</f>
        <v>1.3333333333333333</v>
      </c>
      <c r="K9">
        <f>E2</f>
        <v>0.57735026918962584</v>
      </c>
    </row>
    <row r="10" spans="1:11">
      <c r="A10">
        <v>3</v>
      </c>
      <c r="B10">
        <v>3</v>
      </c>
      <c r="C10">
        <v>1</v>
      </c>
      <c r="D10" s="6"/>
      <c r="E10" s="7"/>
      <c r="F10" s="7"/>
      <c r="I10" t="s">
        <v>9</v>
      </c>
      <c r="J10" s="1">
        <f>D5</f>
        <v>2</v>
      </c>
      <c r="K10">
        <f>E5</f>
        <v>1</v>
      </c>
    </row>
    <row r="11" spans="1:11">
      <c r="A11">
        <v>4</v>
      </c>
      <c r="B11">
        <v>1</v>
      </c>
      <c r="C11">
        <v>1</v>
      </c>
      <c r="D11" s="6">
        <f t="shared" ref="D11" si="6">AVERAGE(C11:C13)</f>
        <v>2</v>
      </c>
      <c r="E11" s="7">
        <f t="shared" ref="E11" si="7">STDEV(C11:C13)</f>
        <v>1</v>
      </c>
      <c r="F11" s="7">
        <f t="shared" ref="F11" si="8">E11/1.73</f>
        <v>0.5780346820809249</v>
      </c>
      <c r="I11" t="s">
        <v>10</v>
      </c>
      <c r="J11" s="1">
        <f>D8</f>
        <v>1.6666666666666667</v>
      </c>
      <c r="K11">
        <f>E8</f>
        <v>1.1547005383792515</v>
      </c>
    </row>
    <row r="12" spans="1:11">
      <c r="A12">
        <v>4</v>
      </c>
      <c r="B12">
        <v>2</v>
      </c>
      <c r="C12">
        <v>3</v>
      </c>
      <c r="D12" s="6"/>
      <c r="E12" s="7"/>
      <c r="F12" s="7"/>
      <c r="I12" t="s">
        <v>11</v>
      </c>
      <c r="J12" s="1">
        <f>D11</f>
        <v>2</v>
      </c>
      <c r="K12">
        <f>E11</f>
        <v>1</v>
      </c>
    </row>
    <row r="13" spans="1:11">
      <c r="A13">
        <v>4</v>
      </c>
      <c r="B13">
        <v>3</v>
      </c>
      <c r="C13">
        <v>2</v>
      </c>
      <c r="D13" s="6"/>
      <c r="E13" s="7"/>
      <c r="F13" s="7"/>
      <c r="I13" t="s">
        <v>12</v>
      </c>
      <c r="J13" s="1">
        <f>D14</f>
        <v>3.3333333333333335</v>
      </c>
      <c r="K13">
        <f>E14</f>
        <v>0.57735026918962473</v>
      </c>
    </row>
    <row r="14" spans="1:11">
      <c r="A14">
        <v>5</v>
      </c>
      <c r="B14">
        <v>1</v>
      </c>
      <c r="C14">
        <v>3</v>
      </c>
      <c r="D14" s="6">
        <f t="shared" ref="D14" si="9">AVERAGE(C14:C16)</f>
        <v>3.3333333333333335</v>
      </c>
      <c r="E14" s="7">
        <f t="shared" ref="E14" si="10">STDEV(C14:C16)</f>
        <v>0.57735026918962473</v>
      </c>
      <c r="F14" s="7">
        <f t="shared" ref="F14" si="11">E14/1.73</f>
        <v>0.33372847930036115</v>
      </c>
    </row>
    <row r="15" spans="1:11">
      <c r="A15">
        <v>5</v>
      </c>
      <c r="B15">
        <v>2</v>
      </c>
      <c r="C15">
        <v>3</v>
      </c>
      <c r="D15" s="6"/>
      <c r="E15" s="7"/>
      <c r="F15" s="7"/>
    </row>
    <row r="16" spans="1:11">
      <c r="A16">
        <v>5</v>
      </c>
      <c r="B16">
        <v>3</v>
      </c>
      <c r="C16">
        <v>4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FD06-7056-4AEF-8AEB-D3FD515BEB8E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21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37</v>
      </c>
      <c r="D2" s="6">
        <f>AVERAGE(C2:C4)</f>
        <v>36.333333333333336</v>
      </c>
      <c r="E2" s="7">
        <f>STDEV(C2:C4)</f>
        <v>2.0816659994661326</v>
      </c>
      <c r="F2" s="7">
        <f>E2/1.73</f>
        <v>1.2032751442000766</v>
      </c>
    </row>
    <row r="3" spans="1:11">
      <c r="A3">
        <v>1</v>
      </c>
      <c r="B3">
        <v>2</v>
      </c>
      <c r="C3">
        <v>34</v>
      </c>
      <c r="D3" s="6"/>
      <c r="E3" s="7"/>
      <c r="F3" s="7"/>
    </row>
    <row r="4" spans="1:11">
      <c r="A4">
        <v>1</v>
      </c>
      <c r="B4">
        <v>3</v>
      </c>
      <c r="C4">
        <v>38</v>
      </c>
      <c r="D4" s="6"/>
      <c r="E4" s="7"/>
      <c r="F4" s="7"/>
    </row>
    <row r="5" spans="1:11">
      <c r="A5">
        <v>2</v>
      </c>
      <c r="B5">
        <v>1</v>
      </c>
      <c r="C5">
        <v>51</v>
      </c>
      <c r="D5" s="6">
        <f t="shared" ref="D5" si="0">AVERAGE(C5:C7)</f>
        <v>50</v>
      </c>
      <c r="E5" s="7">
        <f t="shared" ref="E5" si="1">STDEV(C5:C7)</f>
        <v>1</v>
      </c>
      <c r="F5" s="7">
        <f t="shared" ref="F5" si="2">E5/1.73</f>
        <v>0.5780346820809249</v>
      </c>
    </row>
    <row r="6" spans="1:11">
      <c r="A6">
        <v>2</v>
      </c>
      <c r="B6">
        <v>2</v>
      </c>
      <c r="C6">
        <v>50</v>
      </c>
      <c r="D6" s="6"/>
      <c r="E6" s="7"/>
      <c r="F6" s="7"/>
    </row>
    <row r="7" spans="1:11">
      <c r="A7">
        <v>2</v>
      </c>
      <c r="B7">
        <v>3</v>
      </c>
      <c r="C7">
        <v>49</v>
      </c>
      <c r="D7" s="6"/>
      <c r="E7" s="7"/>
      <c r="F7" s="7"/>
    </row>
    <row r="8" spans="1:11">
      <c r="A8">
        <v>3</v>
      </c>
      <c r="B8">
        <v>1</v>
      </c>
      <c r="C8">
        <v>43</v>
      </c>
      <c r="D8" s="6">
        <f t="shared" ref="D8" si="3">AVERAGE(C8:C10)</f>
        <v>44.333333333333336</v>
      </c>
      <c r="E8" s="7">
        <f t="shared" ref="E8" si="4">STDEV(C8:C10)</f>
        <v>4.1633319989322661</v>
      </c>
      <c r="F8" s="7">
        <f t="shared" ref="F8" si="5">E8/1.73</f>
        <v>2.4065502884001537</v>
      </c>
      <c r="I8" t="s">
        <v>0</v>
      </c>
      <c r="J8" t="s">
        <v>21</v>
      </c>
    </row>
    <row r="9" spans="1:11">
      <c r="A9">
        <v>3</v>
      </c>
      <c r="B9">
        <v>2</v>
      </c>
      <c r="C9">
        <v>49</v>
      </c>
      <c r="D9" s="6"/>
      <c r="E9" s="7"/>
      <c r="F9" s="7"/>
      <c r="I9" t="s">
        <v>6</v>
      </c>
      <c r="J9" s="1">
        <f>D2</f>
        <v>36.333333333333336</v>
      </c>
      <c r="K9">
        <f>E2</f>
        <v>2.0816659994661326</v>
      </c>
    </row>
    <row r="10" spans="1:11">
      <c r="A10">
        <v>3</v>
      </c>
      <c r="B10">
        <v>3</v>
      </c>
      <c r="C10">
        <v>41</v>
      </c>
      <c r="D10" s="6"/>
      <c r="E10" s="7"/>
      <c r="F10" s="7"/>
      <c r="I10" t="s">
        <v>9</v>
      </c>
      <c r="J10" s="1">
        <f>D5</f>
        <v>50</v>
      </c>
      <c r="K10">
        <f>E5</f>
        <v>1</v>
      </c>
    </row>
    <row r="11" spans="1:11">
      <c r="A11">
        <v>4</v>
      </c>
      <c r="B11">
        <v>1</v>
      </c>
      <c r="C11">
        <v>48</v>
      </c>
      <c r="D11" s="6">
        <f t="shared" ref="D11" si="6">AVERAGE(C11:C13)</f>
        <v>48.333333333333336</v>
      </c>
      <c r="E11" s="7">
        <f t="shared" ref="E11" si="7">STDEV(C11:C13)</f>
        <v>1.5275252316519465</v>
      </c>
      <c r="F11" s="7">
        <f t="shared" ref="F11" si="8">E11/1.73</f>
        <v>0.88296256164852405</v>
      </c>
      <c r="I11" t="s">
        <v>10</v>
      </c>
      <c r="J11" s="1">
        <f>D8</f>
        <v>44.333333333333336</v>
      </c>
      <c r="K11">
        <f>E8</f>
        <v>4.1633319989322661</v>
      </c>
    </row>
    <row r="12" spans="1:11">
      <c r="A12">
        <v>4</v>
      </c>
      <c r="B12">
        <v>2</v>
      </c>
      <c r="C12">
        <v>47</v>
      </c>
      <c r="D12" s="6"/>
      <c r="E12" s="7"/>
      <c r="F12" s="7"/>
      <c r="I12" t="s">
        <v>11</v>
      </c>
      <c r="J12" s="1">
        <f>D11</f>
        <v>48.333333333333336</v>
      </c>
      <c r="K12">
        <f>E11</f>
        <v>1.5275252316519465</v>
      </c>
    </row>
    <row r="13" spans="1:11">
      <c r="A13">
        <v>4</v>
      </c>
      <c r="B13">
        <v>3</v>
      </c>
      <c r="C13">
        <v>50</v>
      </c>
      <c r="D13" s="6"/>
      <c r="E13" s="7"/>
      <c r="F13" s="7"/>
      <c r="I13" t="s">
        <v>12</v>
      </c>
      <c r="J13" s="1">
        <f>D14</f>
        <v>77.333333333333329</v>
      </c>
      <c r="K13">
        <f>E14</f>
        <v>1.5275252316519468</v>
      </c>
    </row>
    <row r="14" spans="1:11">
      <c r="A14">
        <v>5</v>
      </c>
      <c r="B14">
        <v>1</v>
      </c>
      <c r="C14">
        <v>77</v>
      </c>
      <c r="D14" s="6">
        <f t="shared" ref="D14" si="9">AVERAGE(C14:C16)</f>
        <v>77.333333333333329</v>
      </c>
      <c r="E14" s="7">
        <f t="shared" ref="E14" si="10">STDEV(C14:C16)</f>
        <v>1.5275252316519468</v>
      </c>
      <c r="F14" s="7">
        <f t="shared" ref="F14" si="11">E14/1.73</f>
        <v>0.88296256164852416</v>
      </c>
    </row>
    <row r="15" spans="1:11">
      <c r="A15">
        <v>5</v>
      </c>
      <c r="B15">
        <v>2</v>
      </c>
      <c r="C15">
        <v>79</v>
      </c>
      <c r="D15" s="6"/>
      <c r="E15" s="7"/>
      <c r="F15" s="7"/>
    </row>
    <row r="16" spans="1:11">
      <c r="A16">
        <v>5</v>
      </c>
      <c r="B16">
        <v>3</v>
      </c>
      <c r="C16">
        <v>76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C275-5EDF-47A2-AB80-033FF1CC43DA}">
  <dimension ref="A1:K16"/>
  <sheetViews>
    <sheetView zoomScale="79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22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9.5</v>
      </c>
      <c r="D2" s="6">
        <f>AVERAGE(C2:C4)</f>
        <v>9.6666666666666661</v>
      </c>
      <c r="E2" s="7">
        <f>STDEV(C2:C4)</f>
        <v>0.28867513459481292</v>
      </c>
      <c r="F2" s="7">
        <f>E2/1.73</f>
        <v>0.16686423965018088</v>
      </c>
    </row>
    <row r="3" spans="1:11">
      <c r="A3">
        <v>1</v>
      </c>
      <c r="B3">
        <v>2</v>
      </c>
      <c r="C3">
        <v>10</v>
      </c>
      <c r="D3" s="6"/>
      <c r="E3" s="7"/>
      <c r="F3" s="7"/>
    </row>
    <row r="4" spans="1:11">
      <c r="A4">
        <v>1</v>
      </c>
      <c r="B4">
        <v>3</v>
      </c>
      <c r="C4">
        <v>9.5</v>
      </c>
      <c r="D4" s="6"/>
      <c r="E4" s="7"/>
      <c r="F4" s="7"/>
    </row>
    <row r="5" spans="1:11">
      <c r="A5">
        <v>2</v>
      </c>
      <c r="B5">
        <v>1</v>
      </c>
      <c r="C5">
        <v>12.3</v>
      </c>
      <c r="D5" s="6">
        <f t="shared" ref="D5" si="0">AVERAGE(C5:C7)</f>
        <v>11.933333333333332</v>
      </c>
      <c r="E5" s="7">
        <f t="shared" ref="E5" si="1">STDEV(C5:C7)</f>
        <v>1.2897028081435402</v>
      </c>
      <c r="F5" s="7">
        <f t="shared" ref="F5" si="2">E5/1.73</f>
        <v>0.7454929526841273</v>
      </c>
    </row>
    <row r="6" spans="1:11">
      <c r="A6">
        <v>2</v>
      </c>
      <c r="B6">
        <v>2</v>
      </c>
      <c r="C6">
        <v>10.5</v>
      </c>
      <c r="D6" s="6"/>
      <c r="E6" s="7"/>
      <c r="F6" s="7"/>
    </row>
    <row r="7" spans="1:11">
      <c r="A7">
        <v>2</v>
      </c>
      <c r="B7">
        <v>3</v>
      </c>
      <c r="C7">
        <v>13</v>
      </c>
      <c r="D7" s="6"/>
      <c r="E7" s="7"/>
      <c r="F7" s="7"/>
    </row>
    <row r="8" spans="1:11">
      <c r="A8">
        <v>3</v>
      </c>
      <c r="B8">
        <v>1</v>
      </c>
      <c r="C8">
        <v>10.5</v>
      </c>
      <c r="D8" s="6">
        <f t="shared" ref="D8" si="3">AVERAGE(C8:C10)</f>
        <v>10.666666666666666</v>
      </c>
      <c r="E8" s="7">
        <f t="shared" ref="E8" si="4">STDEV(C8:C10)</f>
        <v>0.76376261582597327</v>
      </c>
      <c r="F8" s="7">
        <f t="shared" ref="F8" si="5">E8/1.73</f>
        <v>0.44148128082426202</v>
      </c>
      <c r="I8" t="s">
        <v>0</v>
      </c>
      <c r="J8" t="s">
        <v>22</v>
      </c>
    </row>
    <row r="9" spans="1:11">
      <c r="A9">
        <v>3</v>
      </c>
      <c r="B9">
        <v>2</v>
      </c>
      <c r="C9">
        <v>11.5</v>
      </c>
      <c r="D9" s="6"/>
      <c r="E9" s="7"/>
      <c r="F9" s="7"/>
      <c r="I9" t="s">
        <v>6</v>
      </c>
      <c r="J9" s="1">
        <f>D2</f>
        <v>9.6666666666666661</v>
      </c>
      <c r="K9">
        <f>E2</f>
        <v>0.28867513459481292</v>
      </c>
    </row>
    <row r="10" spans="1:11">
      <c r="A10">
        <v>3</v>
      </c>
      <c r="B10">
        <v>3</v>
      </c>
      <c r="C10">
        <v>10</v>
      </c>
      <c r="D10" s="6"/>
      <c r="E10" s="7"/>
      <c r="F10" s="7"/>
      <c r="I10" t="s">
        <v>9</v>
      </c>
      <c r="J10" s="1">
        <f>D5</f>
        <v>11.933333333333332</v>
      </c>
      <c r="K10">
        <f>E5</f>
        <v>1.2897028081435402</v>
      </c>
    </row>
    <row r="11" spans="1:11">
      <c r="A11">
        <v>4</v>
      </c>
      <c r="B11">
        <v>1</v>
      </c>
      <c r="C11">
        <v>11</v>
      </c>
      <c r="D11" s="6">
        <f t="shared" ref="D11" si="6">AVERAGE(C11:C13)</f>
        <v>10.9</v>
      </c>
      <c r="E11" s="7">
        <f t="shared" ref="E11" si="7">STDEV(C11:C13)</f>
        <v>0.556776436283002</v>
      </c>
      <c r="F11" s="7">
        <f t="shared" ref="F11" si="8">E11/1.73</f>
        <v>0.3218360903369954</v>
      </c>
      <c r="I11" t="s">
        <v>10</v>
      </c>
      <c r="J11" s="1">
        <f>D8</f>
        <v>10.666666666666666</v>
      </c>
      <c r="K11">
        <f>E8</f>
        <v>0.76376261582597327</v>
      </c>
    </row>
    <row r="12" spans="1:11">
      <c r="A12">
        <v>4</v>
      </c>
      <c r="B12">
        <v>2</v>
      </c>
      <c r="C12">
        <v>10.3</v>
      </c>
      <c r="D12" s="6"/>
      <c r="E12" s="7"/>
      <c r="F12" s="7"/>
      <c r="I12" t="s">
        <v>11</v>
      </c>
      <c r="J12" s="1">
        <f>D11</f>
        <v>10.9</v>
      </c>
      <c r="K12">
        <f>E11</f>
        <v>0.556776436283002</v>
      </c>
    </row>
    <row r="13" spans="1:11">
      <c r="A13">
        <v>4</v>
      </c>
      <c r="B13">
        <v>3</v>
      </c>
      <c r="C13">
        <v>11.4</v>
      </c>
      <c r="D13" s="6"/>
      <c r="E13" s="7"/>
      <c r="F13" s="7"/>
      <c r="I13" t="s">
        <v>12</v>
      </c>
      <c r="J13" s="1">
        <f>D14</f>
        <v>12.356666666666667</v>
      </c>
      <c r="K13">
        <f>E14</f>
        <v>0.58106224566162779</v>
      </c>
    </row>
    <row r="14" spans="1:11">
      <c r="A14">
        <v>5</v>
      </c>
      <c r="B14">
        <v>1</v>
      </c>
      <c r="C14">
        <v>12.2</v>
      </c>
      <c r="D14" s="6">
        <f t="shared" ref="D14" si="9">AVERAGE(C14:C16)</f>
        <v>12.356666666666667</v>
      </c>
      <c r="E14" s="7">
        <f t="shared" ref="E14" si="10">STDEV(C14:C16)</f>
        <v>0.58106224566162779</v>
      </c>
      <c r="F14" s="7">
        <f t="shared" ref="F14" si="11">E14/1.73</f>
        <v>0.33587413044024728</v>
      </c>
    </row>
    <row r="15" spans="1:11">
      <c r="A15">
        <v>5</v>
      </c>
      <c r="B15">
        <v>2</v>
      </c>
      <c r="C15">
        <v>13</v>
      </c>
      <c r="D15" s="6"/>
      <c r="E15" s="7"/>
      <c r="F15" s="7"/>
    </row>
    <row r="16" spans="1:11">
      <c r="A16">
        <v>5</v>
      </c>
      <c r="B16">
        <v>3</v>
      </c>
      <c r="C16">
        <v>11.87</v>
      </c>
      <c r="D16" s="6"/>
      <c r="E16" s="7"/>
      <c r="F16" s="7"/>
    </row>
  </sheetData>
  <mergeCells count="15">
    <mergeCell ref="D2:D4"/>
    <mergeCell ref="E2:E4"/>
    <mergeCell ref="F2:F4"/>
    <mergeCell ref="D5:D7"/>
    <mergeCell ref="E5:E7"/>
    <mergeCell ref="F5:F7"/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7E06-5EB8-44D5-A7C8-8325549D3974}">
  <dimension ref="A1:K16"/>
  <sheetViews>
    <sheetView zoomScale="83" zoomScaleNormal="115" workbookViewId="0">
      <selection activeCell="J18" sqref="J18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23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 s="4">
        <v>0.43</v>
      </c>
      <c r="D2" s="6">
        <f>AVERAGE(C2:C4)</f>
        <v>0.43433333333333329</v>
      </c>
      <c r="E2" s="6">
        <f>STDEV(C2:C4)</f>
        <v>3.3709543653590621E-2</v>
      </c>
      <c r="F2" s="7">
        <f>E2/1.73</f>
        <v>1.9485285348896313E-2</v>
      </c>
    </row>
    <row r="3" spans="1:11">
      <c r="A3">
        <v>1</v>
      </c>
      <c r="B3">
        <v>2</v>
      </c>
      <c r="C3" s="4">
        <v>0.40300000000000002</v>
      </c>
      <c r="D3" s="6"/>
      <c r="E3" s="6"/>
      <c r="F3" s="7"/>
    </row>
    <row r="4" spans="1:11">
      <c r="A4">
        <v>1</v>
      </c>
      <c r="B4">
        <v>3</v>
      </c>
      <c r="C4" s="4">
        <v>0.47</v>
      </c>
      <c r="D4" s="6"/>
      <c r="E4" s="6"/>
      <c r="F4" s="7"/>
    </row>
    <row r="5" spans="1:11">
      <c r="A5">
        <v>2</v>
      </c>
      <c r="B5">
        <v>1</v>
      </c>
      <c r="C5" s="4">
        <v>0.217</v>
      </c>
      <c r="D5" s="6">
        <f t="shared" ref="D5" si="0">AVERAGE(C5:C7)</f>
        <v>0.254</v>
      </c>
      <c r="E5" s="7">
        <f>STDEV(C5:C7)</f>
        <v>3.9153543900903517E-2</v>
      </c>
      <c r="F5" s="7">
        <f t="shared" ref="F5" si="1">E5/1.73</f>
        <v>2.26321063011003E-2</v>
      </c>
    </row>
    <row r="6" spans="1:11">
      <c r="A6">
        <v>2</v>
      </c>
      <c r="B6">
        <v>2</v>
      </c>
      <c r="C6" s="4">
        <v>0.25</v>
      </c>
      <c r="D6" s="6"/>
      <c r="E6" s="7"/>
      <c r="F6" s="7"/>
    </row>
    <row r="7" spans="1:11">
      <c r="A7">
        <v>2</v>
      </c>
      <c r="B7">
        <v>3</v>
      </c>
      <c r="C7" s="4">
        <v>0.29499999999999998</v>
      </c>
      <c r="D7" s="6"/>
      <c r="E7" s="7"/>
      <c r="F7" s="7"/>
    </row>
    <row r="8" spans="1:11">
      <c r="A8">
        <v>3</v>
      </c>
      <c r="B8">
        <v>1</v>
      </c>
      <c r="C8" s="4">
        <v>0.41</v>
      </c>
      <c r="D8" s="6">
        <f t="shared" ref="D8" si="2">AVERAGE(C8:C10)</f>
        <v>0.45799999999999996</v>
      </c>
      <c r="E8" s="7">
        <f t="shared" ref="E8" si="3">STDEV(C8:C10)</f>
        <v>4.1617304093369632E-2</v>
      </c>
      <c r="F8" s="7">
        <f t="shared" ref="F8" si="4">E8/1.73</f>
        <v>2.4056245140676089E-2</v>
      </c>
      <c r="I8" t="s">
        <v>0</v>
      </c>
      <c r="J8" t="s">
        <v>23</v>
      </c>
    </row>
    <row r="9" spans="1:11">
      <c r="A9">
        <v>3</v>
      </c>
      <c r="B9">
        <v>2</v>
      </c>
      <c r="C9" s="4">
        <v>0.48399999999999999</v>
      </c>
      <c r="D9" s="6"/>
      <c r="E9" s="7"/>
      <c r="F9" s="7"/>
      <c r="I9" t="s">
        <v>6</v>
      </c>
      <c r="J9" s="1">
        <f>D2</f>
        <v>0.43433333333333329</v>
      </c>
      <c r="K9">
        <f>E2</f>
        <v>3.3709543653590621E-2</v>
      </c>
    </row>
    <row r="10" spans="1:11">
      <c r="A10">
        <v>3</v>
      </c>
      <c r="B10">
        <v>3</v>
      </c>
      <c r="C10" s="4">
        <v>0.48</v>
      </c>
      <c r="D10" s="6"/>
      <c r="E10" s="7"/>
      <c r="F10" s="7"/>
      <c r="I10" t="s">
        <v>9</v>
      </c>
      <c r="J10" s="1">
        <f>D5</f>
        <v>0.254</v>
      </c>
      <c r="K10">
        <f>E5</f>
        <v>3.9153543900903517E-2</v>
      </c>
    </row>
    <row r="11" spans="1:11">
      <c r="A11">
        <v>4</v>
      </c>
      <c r="B11">
        <v>1</v>
      </c>
      <c r="C11" s="4">
        <v>0.39900000000000002</v>
      </c>
      <c r="D11" s="6">
        <f t="shared" ref="D11" si="5">AVERAGE(C11:C13)</f>
        <v>0.36299999999999999</v>
      </c>
      <c r="E11" s="7">
        <f t="shared" ref="E11" si="6">STDEV(C11:C13)</f>
        <v>3.5510561809129412E-2</v>
      </c>
      <c r="F11" s="7">
        <f t="shared" ref="F11" si="7">E11/1.73</f>
        <v>2.0526336305855153E-2</v>
      </c>
      <c r="I11" t="s">
        <v>10</v>
      </c>
      <c r="J11" s="1">
        <f>D8</f>
        <v>0.45799999999999996</v>
      </c>
      <c r="K11">
        <f>E8</f>
        <v>4.1617304093369632E-2</v>
      </c>
    </row>
    <row r="12" spans="1:11">
      <c r="A12">
        <v>4</v>
      </c>
      <c r="B12">
        <v>2</v>
      </c>
      <c r="C12" s="4">
        <v>0.32800000000000001</v>
      </c>
      <c r="D12" s="6"/>
      <c r="E12" s="7"/>
      <c r="F12" s="7"/>
      <c r="I12" t="s">
        <v>11</v>
      </c>
      <c r="J12" s="1">
        <f>D11</f>
        <v>0.36299999999999999</v>
      </c>
      <c r="K12">
        <f>E11</f>
        <v>3.5510561809129412E-2</v>
      </c>
    </row>
    <row r="13" spans="1:11">
      <c r="A13">
        <v>4</v>
      </c>
      <c r="B13">
        <v>3</v>
      </c>
      <c r="C13" s="4">
        <v>0.36199999999999999</v>
      </c>
      <c r="D13" s="6"/>
      <c r="E13" s="7"/>
      <c r="F13" s="7"/>
      <c r="I13" t="s">
        <v>12</v>
      </c>
      <c r="J13" s="1">
        <f>D14</f>
        <v>0.60733333333333339</v>
      </c>
      <c r="K13">
        <f>E14</f>
        <v>2.3007245235649884E-2</v>
      </c>
    </row>
    <row r="14" spans="1:11">
      <c r="A14">
        <v>5</v>
      </c>
      <c r="B14">
        <v>1</v>
      </c>
      <c r="C14" s="4">
        <v>0.60799999999999998</v>
      </c>
      <c r="D14" s="6">
        <f t="shared" ref="D14" si="8">AVERAGE(C14:C16)</f>
        <v>0.60733333333333339</v>
      </c>
      <c r="E14" s="7">
        <f t="shared" ref="E14" si="9">STDEV(C14:C16)</f>
        <v>2.3007245235649884E-2</v>
      </c>
      <c r="F14" s="7">
        <f t="shared" ref="F14" si="10">E14/1.73</f>
        <v>1.3298985685346754E-2</v>
      </c>
    </row>
    <row r="15" spans="1:11">
      <c r="A15">
        <v>5</v>
      </c>
      <c r="B15">
        <v>2</v>
      </c>
      <c r="C15" s="4">
        <v>0.58399999999999996</v>
      </c>
      <c r="D15" s="6"/>
      <c r="E15" s="7"/>
      <c r="F15" s="7"/>
    </row>
    <row r="16" spans="1:11">
      <c r="A16">
        <v>5</v>
      </c>
      <c r="B16">
        <v>3</v>
      </c>
      <c r="C16" s="4">
        <v>0.63</v>
      </c>
      <c r="D16" s="6"/>
      <c r="E16" s="7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1F26-351E-4CB8-9260-BF034A5705D5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0.23400000000000001</v>
      </c>
      <c r="D2" s="6">
        <f>AVERAGE(C2:C4)</f>
        <v>0.28066666666666668</v>
      </c>
      <c r="E2" s="6">
        <f>STDEV(C2:C4)</f>
        <v>4.0857475856118597E-2</v>
      </c>
      <c r="F2" s="7">
        <f>E2/1.73</f>
        <v>2.3617038067120576E-2</v>
      </c>
    </row>
    <row r="3" spans="1:11">
      <c r="A3">
        <v>1</v>
      </c>
      <c r="B3">
        <v>2</v>
      </c>
      <c r="C3">
        <v>0.31</v>
      </c>
      <c r="D3" s="6"/>
      <c r="E3" s="6"/>
      <c r="F3" s="7"/>
    </row>
    <row r="4" spans="1:11">
      <c r="A4">
        <v>1</v>
      </c>
      <c r="B4">
        <v>3</v>
      </c>
      <c r="C4">
        <v>0.29799999999999999</v>
      </c>
      <c r="D4" s="6"/>
      <c r="E4" s="6"/>
      <c r="F4" s="7"/>
    </row>
    <row r="5" spans="1:11">
      <c r="A5">
        <v>2</v>
      </c>
      <c r="B5">
        <v>1</v>
      </c>
      <c r="C5">
        <v>0.56999999999999995</v>
      </c>
      <c r="D5" s="6">
        <f t="shared" ref="D5" si="0">AVERAGE(C5:C7)</f>
        <v>0.59133333333333338</v>
      </c>
      <c r="E5" s="6">
        <f t="shared" ref="E5" si="1">STDEV(C5:C7)</f>
        <v>1.8502252115170575E-2</v>
      </c>
      <c r="F5" s="7">
        <f t="shared" ref="F5" si="2">E5/1.73</f>
        <v>1.0694943419173743E-2</v>
      </c>
    </row>
    <row r="6" spans="1:11">
      <c r="A6">
        <v>2</v>
      </c>
      <c r="B6">
        <v>2</v>
      </c>
      <c r="C6">
        <v>0.60299999999999998</v>
      </c>
      <c r="D6" s="6"/>
      <c r="E6" s="6"/>
      <c r="F6" s="7"/>
    </row>
    <row r="7" spans="1:11">
      <c r="A7">
        <v>2</v>
      </c>
      <c r="B7">
        <v>3</v>
      </c>
      <c r="C7">
        <v>0.60099999999999998</v>
      </c>
      <c r="D7" s="6"/>
      <c r="E7" s="6"/>
      <c r="F7" s="7"/>
    </row>
    <row r="8" spans="1:11">
      <c r="A8">
        <v>3</v>
      </c>
      <c r="B8">
        <v>1</v>
      </c>
      <c r="C8">
        <v>0.49</v>
      </c>
      <c r="D8" s="6">
        <f t="shared" ref="D8" si="3">AVERAGE(C8:C10)</f>
        <v>0.50233333333333341</v>
      </c>
      <c r="E8" s="6">
        <f t="shared" ref="E8" si="4">STDEV(C8:C10)</f>
        <v>1.1590225767142484E-2</v>
      </c>
      <c r="F8" s="7">
        <f t="shared" ref="F8" si="5">E8/1.73</f>
        <v>6.6995524665563492E-3</v>
      </c>
      <c r="I8" t="s">
        <v>0</v>
      </c>
      <c r="J8" t="s">
        <v>24</v>
      </c>
    </row>
    <row r="9" spans="1:11">
      <c r="A9">
        <v>3</v>
      </c>
      <c r="B9">
        <v>2</v>
      </c>
      <c r="C9">
        <v>0.504</v>
      </c>
      <c r="D9" s="6"/>
      <c r="E9" s="6"/>
      <c r="F9" s="7"/>
      <c r="I9" t="s">
        <v>6</v>
      </c>
      <c r="J9" s="1">
        <f>D2</f>
        <v>0.28066666666666668</v>
      </c>
      <c r="K9">
        <f>E2</f>
        <v>4.0857475856118597E-2</v>
      </c>
    </row>
    <row r="10" spans="1:11">
      <c r="A10">
        <v>3</v>
      </c>
      <c r="B10">
        <v>3</v>
      </c>
      <c r="C10">
        <v>0.51300000000000001</v>
      </c>
      <c r="D10" s="6"/>
      <c r="E10" s="6"/>
      <c r="F10" s="7"/>
      <c r="I10" t="s">
        <v>9</v>
      </c>
      <c r="J10" s="1">
        <f>D5</f>
        <v>0.59133333333333338</v>
      </c>
      <c r="K10">
        <f>E5</f>
        <v>1.8502252115170575E-2</v>
      </c>
    </row>
    <row r="11" spans="1:11">
      <c r="A11">
        <v>4</v>
      </c>
      <c r="B11">
        <v>1</v>
      </c>
      <c r="C11">
        <v>0.50900000000000001</v>
      </c>
      <c r="D11" s="6">
        <f t="shared" ref="D11" si="6">AVERAGE(C11:C13)</f>
        <v>0.5073333333333333</v>
      </c>
      <c r="E11" s="6">
        <f t="shared" ref="E11" si="7">STDEV(C11:C13)</f>
        <v>1.6563010998406472E-2</v>
      </c>
      <c r="F11" s="7">
        <f t="shared" ref="F11" si="8">E11/1.73</f>
        <v>9.5739947967667469E-3</v>
      </c>
      <c r="I11" t="s">
        <v>10</v>
      </c>
      <c r="J11" s="1">
        <f>D8</f>
        <v>0.50233333333333341</v>
      </c>
      <c r="K11">
        <f>E8</f>
        <v>1.1590225767142484E-2</v>
      </c>
    </row>
    <row r="12" spans="1:11">
      <c r="A12">
        <v>4</v>
      </c>
      <c r="B12">
        <v>2</v>
      </c>
      <c r="C12">
        <v>0.49</v>
      </c>
      <c r="D12" s="6"/>
      <c r="E12" s="6"/>
      <c r="F12" s="7"/>
      <c r="I12" t="s">
        <v>11</v>
      </c>
      <c r="J12" s="1">
        <f>D11</f>
        <v>0.5073333333333333</v>
      </c>
      <c r="K12">
        <f>E11</f>
        <v>1.6563010998406472E-2</v>
      </c>
    </row>
    <row r="13" spans="1:11">
      <c r="A13">
        <v>4</v>
      </c>
      <c r="B13">
        <v>3</v>
      </c>
      <c r="C13">
        <v>0.52300000000000002</v>
      </c>
      <c r="D13" s="6"/>
      <c r="E13" s="6"/>
      <c r="F13" s="7"/>
      <c r="I13" t="s">
        <v>12</v>
      </c>
      <c r="J13" s="1">
        <f>D14</f>
        <v>0.90333333333333332</v>
      </c>
      <c r="K13">
        <f>E14</f>
        <v>3.5118845842842437E-2</v>
      </c>
    </row>
    <row r="14" spans="1:11">
      <c r="A14">
        <v>5</v>
      </c>
      <c r="B14">
        <v>1</v>
      </c>
      <c r="C14">
        <v>0.87</v>
      </c>
      <c r="D14" s="6">
        <f t="shared" ref="D14" si="9">AVERAGE(C14:C16)</f>
        <v>0.90333333333333332</v>
      </c>
      <c r="E14" s="6">
        <f t="shared" ref="E14" si="10">STDEV(C14:C16)</f>
        <v>3.5118845842842437E-2</v>
      </c>
      <c r="F14" s="7">
        <f t="shared" ref="F14" si="11">E14/1.73</f>
        <v>2.0299910891816438E-2</v>
      </c>
    </row>
    <row r="15" spans="1:11">
      <c r="A15">
        <v>5</v>
      </c>
      <c r="B15">
        <v>2</v>
      </c>
      <c r="C15">
        <v>0.9</v>
      </c>
      <c r="D15" s="6"/>
      <c r="E15" s="6"/>
      <c r="F15" s="7"/>
    </row>
    <row r="16" spans="1:11">
      <c r="A16">
        <v>5</v>
      </c>
      <c r="B16">
        <v>3</v>
      </c>
      <c r="C16">
        <v>0.94</v>
      </c>
      <c r="D16" s="6"/>
      <c r="E16" s="6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9C50-947B-4F32-8B7A-55F22EABDA0E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30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0.81</v>
      </c>
      <c r="D2" s="6">
        <f>AVERAGE(C2:C4)</f>
        <v>0.73999999999999988</v>
      </c>
      <c r="E2" s="6">
        <f>STDEV(C2:C4)</f>
        <v>7.0000000000000007E-2</v>
      </c>
      <c r="F2" s="7">
        <f>E2/1.73</f>
        <v>4.0462427745664747E-2</v>
      </c>
    </row>
    <row r="3" spans="1:11">
      <c r="A3">
        <v>1</v>
      </c>
      <c r="B3">
        <v>2</v>
      </c>
      <c r="C3">
        <v>0.67</v>
      </c>
      <c r="D3" s="6"/>
      <c r="E3" s="6"/>
      <c r="F3" s="7"/>
    </row>
    <row r="4" spans="1:11">
      <c r="A4">
        <v>1</v>
      </c>
      <c r="B4">
        <v>3</v>
      </c>
      <c r="C4">
        <v>0.74</v>
      </c>
      <c r="D4" s="6"/>
      <c r="E4" s="6"/>
      <c r="F4" s="7"/>
    </row>
    <row r="5" spans="1:11">
      <c r="A5">
        <v>2</v>
      </c>
      <c r="B5">
        <v>1</v>
      </c>
      <c r="C5">
        <v>1.2982</v>
      </c>
      <c r="D5" s="6">
        <f t="shared" ref="D5" si="0">AVERAGE(C5:C7)</f>
        <v>1.2475666666666667</v>
      </c>
      <c r="E5" s="6">
        <f t="shared" ref="E5" si="1">STDEV(C5:C7)</f>
        <v>7.8366468169321829E-2</v>
      </c>
      <c r="F5" s="7">
        <f t="shared" ref="F5" si="2">E5/1.73</f>
        <v>4.5298536514058858E-2</v>
      </c>
    </row>
    <row r="6" spans="1:11">
      <c r="A6">
        <v>2</v>
      </c>
      <c r="B6">
        <v>2</v>
      </c>
      <c r="C6">
        <v>1.2871999999999999</v>
      </c>
      <c r="D6" s="6"/>
      <c r="E6" s="6"/>
      <c r="F6" s="7"/>
    </row>
    <row r="7" spans="1:11">
      <c r="A7">
        <v>2</v>
      </c>
      <c r="B7">
        <v>3</v>
      </c>
      <c r="C7">
        <v>1.1573</v>
      </c>
      <c r="D7" s="6"/>
      <c r="E7" s="6"/>
      <c r="F7" s="7"/>
    </row>
    <row r="8" spans="1:11">
      <c r="A8">
        <v>3</v>
      </c>
      <c r="B8">
        <v>1</v>
      </c>
      <c r="C8">
        <v>1.0165999999999999</v>
      </c>
      <c r="D8" s="6">
        <f t="shared" ref="D8" si="3">AVERAGE(C8:C10)</f>
        <v>1.0533000000000001</v>
      </c>
      <c r="E8" s="6">
        <f t="shared" ref="E8" si="4">STDEV(C8:C10)</f>
        <v>6.3047363148667893E-2</v>
      </c>
      <c r="F8" s="7">
        <f t="shared" ref="F8" si="5">E8/1.73</f>
        <v>3.6443562513680861E-2</v>
      </c>
      <c r="I8" t="s">
        <v>0</v>
      </c>
      <c r="J8" t="s">
        <v>25</v>
      </c>
    </row>
    <row r="9" spans="1:11">
      <c r="A9">
        <v>3</v>
      </c>
      <c r="B9">
        <v>2</v>
      </c>
      <c r="C9">
        <v>1.1261000000000001</v>
      </c>
      <c r="D9" s="6"/>
      <c r="E9" s="6"/>
      <c r="F9" s="7"/>
      <c r="I9" t="s">
        <v>6</v>
      </c>
      <c r="J9" s="1">
        <f>D2</f>
        <v>0.73999999999999988</v>
      </c>
      <c r="K9">
        <f>E2</f>
        <v>7.0000000000000007E-2</v>
      </c>
    </row>
    <row r="10" spans="1:11">
      <c r="A10">
        <v>3</v>
      </c>
      <c r="B10">
        <v>3</v>
      </c>
      <c r="C10">
        <v>1.0172000000000001</v>
      </c>
      <c r="D10" s="6"/>
      <c r="E10" s="6"/>
      <c r="F10" s="7"/>
      <c r="I10" t="s">
        <v>9</v>
      </c>
      <c r="J10" s="1">
        <f>D5</f>
        <v>1.2475666666666667</v>
      </c>
      <c r="K10">
        <f>E5</f>
        <v>7.8366468169321829E-2</v>
      </c>
    </row>
    <row r="11" spans="1:11">
      <c r="A11">
        <v>4</v>
      </c>
      <c r="B11">
        <v>1</v>
      </c>
      <c r="C11">
        <v>1.2674000000000001</v>
      </c>
      <c r="D11" s="6">
        <f t="shared" ref="D11" si="6">AVERAGE(C11:C13)</f>
        <v>1.2407000000000001</v>
      </c>
      <c r="E11" s="6">
        <f t="shared" ref="E11" si="7">STDEV(C11:C13)</f>
        <v>2.51334438547526E-2</v>
      </c>
      <c r="F11" s="7">
        <f t="shared" ref="F11" si="8">E11/1.73</f>
        <v>1.4528002228180695E-2</v>
      </c>
      <c r="I11" t="s">
        <v>10</v>
      </c>
      <c r="J11" s="1">
        <f>D8</f>
        <v>1.0533000000000001</v>
      </c>
      <c r="K11">
        <f>E8</f>
        <v>6.3047363148667893E-2</v>
      </c>
    </row>
    <row r="12" spans="1:11">
      <c r="A12">
        <v>4</v>
      </c>
      <c r="B12">
        <v>2</v>
      </c>
      <c r="C12">
        <v>1.2175</v>
      </c>
      <c r="D12" s="6"/>
      <c r="E12" s="6"/>
      <c r="F12" s="7"/>
      <c r="I12" t="s">
        <v>11</v>
      </c>
      <c r="J12" s="1">
        <f>D11</f>
        <v>1.2407000000000001</v>
      </c>
      <c r="K12">
        <f>E11</f>
        <v>2.51334438547526E-2</v>
      </c>
    </row>
    <row r="13" spans="1:11">
      <c r="A13">
        <v>4</v>
      </c>
      <c r="B13">
        <v>3</v>
      </c>
      <c r="C13">
        <v>1.2372000000000001</v>
      </c>
      <c r="D13" s="6"/>
      <c r="E13" s="6"/>
      <c r="F13" s="7"/>
      <c r="I13" t="s">
        <v>12</v>
      </c>
      <c r="J13" s="1">
        <f>D14</f>
        <v>1.3037666666666665</v>
      </c>
      <c r="K13">
        <f>E14</f>
        <v>1.1547438388375733E-2</v>
      </c>
    </row>
    <row r="14" spans="1:11">
      <c r="A14">
        <v>5</v>
      </c>
      <c r="B14">
        <v>1</v>
      </c>
      <c r="C14">
        <v>1.2971999999999999</v>
      </c>
      <c r="D14" s="6">
        <f t="shared" ref="D14" si="9">AVERAGE(C14:C16)</f>
        <v>1.3037666666666665</v>
      </c>
      <c r="E14" s="6">
        <f t="shared" ref="E14" si="10">STDEV(C14:C16)</f>
        <v>1.1547438388375733E-2</v>
      </c>
      <c r="F14" s="7">
        <f t="shared" ref="F14" si="11">E14/1.73</f>
        <v>6.674819877673834E-3</v>
      </c>
    </row>
    <row r="15" spans="1:11">
      <c r="A15">
        <v>5</v>
      </c>
      <c r="B15">
        <v>2</v>
      </c>
      <c r="C15">
        <v>1.3170999999999999</v>
      </c>
      <c r="D15" s="6"/>
      <c r="E15" s="6"/>
      <c r="F15" s="7"/>
    </row>
    <row r="16" spans="1:11">
      <c r="A16">
        <v>5</v>
      </c>
      <c r="B16">
        <v>3</v>
      </c>
      <c r="C16">
        <v>1.2969999999999999</v>
      </c>
      <c r="D16" s="6"/>
      <c r="E16" s="6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AB7E-34A2-4711-BCDA-47CE19215AC4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26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0.88200000000000001</v>
      </c>
      <c r="D2" s="6">
        <f>AVERAGE(C2:C4)</f>
        <v>0.84199999999999997</v>
      </c>
      <c r="E2" s="6">
        <f>STDEV(C2:C4)</f>
        <v>7.5425459892532312E-2</v>
      </c>
      <c r="F2" s="7">
        <f>E2/1.73</f>
        <v>4.3598531729787462E-2</v>
      </c>
    </row>
    <row r="3" spans="1:11">
      <c r="A3">
        <v>1</v>
      </c>
      <c r="B3">
        <v>2</v>
      </c>
      <c r="C3">
        <v>0.88900000000000001</v>
      </c>
      <c r="D3" s="6"/>
      <c r="E3" s="6"/>
      <c r="F3" s="7"/>
    </row>
    <row r="4" spans="1:11">
      <c r="A4">
        <v>1</v>
      </c>
      <c r="B4">
        <v>3</v>
      </c>
      <c r="C4">
        <v>0.755</v>
      </c>
      <c r="D4" s="6"/>
      <c r="E4" s="6"/>
      <c r="F4" s="7"/>
    </row>
    <row r="5" spans="1:11">
      <c r="A5">
        <v>2</v>
      </c>
      <c r="B5">
        <v>1</v>
      </c>
      <c r="C5">
        <v>1.171</v>
      </c>
      <c r="D5" s="6">
        <f t="shared" ref="D5" si="0">AVERAGE(C5:C7)</f>
        <v>1.113</v>
      </c>
      <c r="E5" s="6">
        <f t="shared" ref="E5" si="1">STDEV(C5:C7)</f>
        <v>5.302829433425145E-2</v>
      </c>
      <c r="F5" s="7">
        <f t="shared" ref="F5" si="2">E5/1.73</f>
        <v>3.0652193256792745E-2</v>
      </c>
    </row>
    <row r="6" spans="1:11">
      <c r="A6">
        <v>2</v>
      </c>
      <c r="B6">
        <v>2</v>
      </c>
      <c r="C6">
        <v>1.0669999999999999</v>
      </c>
      <c r="D6" s="6"/>
      <c r="E6" s="6"/>
      <c r="F6" s="7"/>
    </row>
    <row r="7" spans="1:11">
      <c r="A7">
        <v>2</v>
      </c>
      <c r="B7">
        <v>3</v>
      </c>
      <c r="C7">
        <v>1.101</v>
      </c>
      <c r="D7" s="6"/>
      <c r="E7" s="6"/>
      <c r="F7" s="7"/>
    </row>
    <row r="8" spans="1:11">
      <c r="A8">
        <v>3</v>
      </c>
      <c r="B8">
        <v>1</v>
      </c>
      <c r="C8">
        <v>1.02</v>
      </c>
      <c r="D8" s="6">
        <f t="shared" ref="D8" si="3">AVERAGE(C8:C10)</f>
        <v>0.96500000000000019</v>
      </c>
      <c r="E8" s="6">
        <f t="shared" ref="E8" si="4">STDEV(C8:C10)</f>
        <v>0.14930170796075776</v>
      </c>
      <c r="F8" s="7">
        <f t="shared" ref="F8" si="5">E8/1.73</f>
        <v>8.6301565295235694E-2</v>
      </c>
      <c r="I8" t="s">
        <v>0</v>
      </c>
      <c r="J8" t="s">
        <v>26</v>
      </c>
    </row>
    <row r="9" spans="1:11">
      <c r="A9">
        <v>3</v>
      </c>
      <c r="B9">
        <v>2</v>
      </c>
      <c r="C9">
        <v>1.079</v>
      </c>
      <c r="D9" s="6"/>
      <c r="E9" s="6"/>
      <c r="F9" s="7"/>
      <c r="I9" t="s">
        <v>6</v>
      </c>
      <c r="J9" s="1">
        <f>D2</f>
        <v>0.84199999999999997</v>
      </c>
      <c r="K9">
        <f>E2</f>
        <v>7.5425459892532312E-2</v>
      </c>
    </row>
    <row r="10" spans="1:11">
      <c r="A10">
        <v>3</v>
      </c>
      <c r="B10">
        <v>3</v>
      </c>
      <c r="C10">
        <v>0.79600000000000004</v>
      </c>
      <c r="D10" s="6"/>
      <c r="E10" s="6"/>
      <c r="F10" s="7"/>
      <c r="I10" t="s">
        <v>9</v>
      </c>
      <c r="J10" s="1">
        <f>D5</f>
        <v>1.113</v>
      </c>
      <c r="K10">
        <f>E5</f>
        <v>5.302829433425145E-2</v>
      </c>
    </row>
    <row r="11" spans="1:11">
      <c r="A11">
        <v>4</v>
      </c>
      <c r="B11">
        <v>1</v>
      </c>
      <c r="C11">
        <v>1.1970000000000001</v>
      </c>
      <c r="D11" s="6">
        <f t="shared" ref="D11" si="6">AVERAGE(C11:C13)</f>
        <v>1.133</v>
      </c>
      <c r="E11" s="6">
        <f t="shared" ref="E11" si="7">STDEV(C11:C13)</f>
        <v>5.8923679450624995E-2</v>
      </c>
      <c r="F11" s="7">
        <f t="shared" ref="F11" si="8">E11/1.73</f>
        <v>3.4059930318280342E-2</v>
      </c>
      <c r="I11" t="s">
        <v>10</v>
      </c>
      <c r="J11" s="1">
        <f>D8</f>
        <v>0.96500000000000019</v>
      </c>
      <c r="K11">
        <f>E8</f>
        <v>0.14930170796075776</v>
      </c>
    </row>
    <row r="12" spans="1:11">
      <c r="A12">
        <v>4</v>
      </c>
      <c r="B12">
        <v>2</v>
      </c>
      <c r="C12">
        <v>1.081</v>
      </c>
      <c r="D12" s="6"/>
      <c r="E12" s="6"/>
      <c r="F12" s="7"/>
      <c r="I12" t="s">
        <v>11</v>
      </c>
      <c r="J12" s="1">
        <f>D11</f>
        <v>1.133</v>
      </c>
      <c r="K12">
        <f>E11</f>
        <v>5.8923679450624995E-2</v>
      </c>
    </row>
    <row r="13" spans="1:11">
      <c r="A13">
        <v>4</v>
      </c>
      <c r="B13">
        <v>3</v>
      </c>
      <c r="C13">
        <v>1.121</v>
      </c>
      <c r="D13" s="6"/>
      <c r="E13" s="6"/>
      <c r="F13" s="7"/>
      <c r="I13" t="s">
        <v>12</v>
      </c>
      <c r="J13" s="1">
        <f>D14</f>
        <v>1.1200000000000001</v>
      </c>
      <c r="K13">
        <f>E14</f>
        <v>2.4248711305964205E-2</v>
      </c>
    </row>
    <row r="14" spans="1:11">
      <c r="A14">
        <v>5</v>
      </c>
      <c r="B14">
        <v>1</v>
      </c>
      <c r="C14">
        <v>1.1419999999999999</v>
      </c>
      <c r="D14" s="6">
        <f t="shared" ref="D14" si="9">AVERAGE(C14:C16)</f>
        <v>1.1200000000000001</v>
      </c>
      <c r="E14" s="6">
        <f t="shared" ref="E14" si="10">STDEV(C14:C16)</f>
        <v>2.4248711305964205E-2</v>
      </c>
      <c r="F14" s="7">
        <f t="shared" ref="F14" si="11">E14/1.73</f>
        <v>1.4016596130615148E-2</v>
      </c>
    </row>
    <row r="15" spans="1:11">
      <c r="A15">
        <v>5</v>
      </c>
      <c r="B15">
        <v>2</v>
      </c>
      <c r="C15">
        <v>1.1240000000000001</v>
      </c>
      <c r="D15" s="6"/>
      <c r="E15" s="6"/>
      <c r="F15" s="7"/>
    </row>
    <row r="16" spans="1:11">
      <c r="A16">
        <v>5</v>
      </c>
      <c r="B16">
        <v>3</v>
      </c>
      <c r="C16">
        <v>1.0940000000000001</v>
      </c>
      <c r="D16" s="6"/>
      <c r="E16" s="6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4203-75CD-44F8-9605-0E76FFF67A2B}">
  <dimension ref="A1:K16"/>
  <sheetViews>
    <sheetView zoomScale="83" zoomScaleNormal="115" workbookViewId="0">
      <selection activeCell="C1" sqref="C1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27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9.7000000000000003E-2</v>
      </c>
      <c r="D2" s="6">
        <f>AVERAGE(C2:C4)</f>
        <v>9.5000000000000015E-2</v>
      </c>
      <c r="E2" s="6">
        <f>STDEV(C2:C4)</f>
        <v>5.2915026221291859E-3</v>
      </c>
      <c r="F2" s="7">
        <f>E2/1.73</f>
        <v>3.0586720359128241E-3</v>
      </c>
    </row>
    <row r="3" spans="1:11">
      <c r="A3">
        <v>1</v>
      </c>
      <c r="B3">
        <v>2</v>
      </c>
      <c r="C3">
        <v>9.9000000000000005E-2</v>
      </c>
      <c r="D3" s="6"/>
      <c r="E3" s="6"/>
      <c r="F3" s="7"/>
    </row>
    <row r="4" spans="1:11">
      <c r="A4">
        <v>1</v>
      </c>
      <c r="B4">
        <v>3</v>
      </c>
      <c r="C4">
        <v>8.8999999999999996E-2</v>
      </c>
      <c r="D4" s="6"/>
      <c r="E4" s="6"/>
      <c r="F4" s="7"/>
    </row>
    <row r="5" spans="1:11">
      <c r="A5">
        <v>2</v>
      </c>
      <c r="B5">
        <v>1</v>
      </c>
      <c r="C5">
        <v>0.13100000000000001</v>
      </c>
      <c r="D5" s="6">
        <f t="shared" ref="D5" si="0">AVERAGE(C5:C7)</f>
        <v>0.13100000000000001</v>
      </c>
      <c r="E5" s="6">
        <f t="shared" ref="E5" si="1">STDEV(C5:C7)</f>
        <v>2.0000000000000018E-3</v>
      </c>
      <c r="F5" s="7">
        <f t="shared" ref="F5" si="2">E5/1.73</f>
        <v>1.1560693641618507E-3</v>
      </c>
    </row>
    <row r="6" spans="1:11">
      <c r="A6">
        <v>2</v>
      </c>
      <c r="B6">
        <v>2</v>
      </c>
      <c r="C6">
        <v>0.13300000000000001</v>
      </c>
      <c r="D6" s="6"/>
      <c r="E6" s="6"/>
      <c r="F6" s="7"/>
    </row>
    <row r="7" spans="1:11">
      <c r="A7">
        <v>2</v>
      </c>
      <c r="B7">
        <v>3</v>
      </c>
      <c r="C7">
        <v>0.129</v>
      </c>
      <c r="D7" s="6"/>
      <c r="E7" s="6"/>
      <c r="F7" s="7"/>
    </row>
    <row r="8" spans="1:11" ht="19.5" customHeight="1">
      <c r="A8">
        <v>3</v>
      </c>
      <c r="B8">
        <v>1</v>
      </c>
      <c r="C8">
        <v>0.121</v>
      </c>
      <c r="D8" s="6">
        <f t="shared" ref="D8" si="3">AVERAGE(C8:C10)</f>
        <v>0.11566666666666665</v>
      </c>
      <c r="E8" s="6">
        <f t="shared" ref="E8" si="4">STDEV(C8:C10)</f>
        <v>7.5718777944003635E-3</v>
      </c>
      <c r="F8" s="7">
        <f t="shared" ref="F8" si="5">E8/1.73</f>
        <v>4.3768079736418285E-3</v>
      </c>
      <c r="I8" t="s">
        <v>0</v>
      </c>
      <c r="J8" t="s">
        <v>27</v>
      </c>
    </row>
    <row r="9" spans="1:11">
      <c r="A9">
        <v>3</v>
      </c>
      <c r="B9">
        <v>2</v>
      </c>
      <c r="C9">
        <v>0.11899999999999999</v>
      </c>
      <c r="D9" s="6"/>
      <c r="E9" s="6"/>
      <c r="F9" s="7"/>
      <c r="I9" t="s">
        <v>6</v>
      </c>
      <c r="J9" s="1">
        <f>D2</f>
        <v>9.5000000000000015E-2</v>
      </c>
      <c r="K9">
        <f>E2</f>
        <v>5.2915026221291859E-3</v>
      </c>
    </row>
    <row r="10" spans="1:11">
      <c r="A10">
        <v>3</v>
      </c>
      <c r="B10">
        <v>3</v>
      </c>
      <c r="C10">
        <v>0.107</v>
      </c>
      <c r="D10" s="6"/>
      <c r="E10" s="6"/>
      <c r="F10" s="7"/>
      <c r="I10" t="s">
        <v>9</v>
      </c>
      <c r="J10" s="1">
        <f>D5</f>
        <v>0.13100000000000001</v>
      </c>
      <c r="K10">
        <f>E5</f>
        <v>2.0000000000000018E-3</v>
      </c>
    </row>
    <row r="11" spans="1:11">
      <c r="A11">
        <v>4</v>
      </c>
      <c r="B11">
        <v>1</v>
      </c>
      <c r="C11">
        <v>0.152</v>
      </c>
      <c r="D11" s="6">
        <f t="shared" ref="D11" si="6">AVERAGE(C11:C13)</f>
        <v>0.13066666666666668</v>
      </c>
      <c r="E11" s="6">
        <f t="shared" ref="E11" si="7">STDEV(C11:C13)</f>
        <v>2.0550750189064392E-2</v>
      </c>
      <c r="F11" s="7">
        <f t="shared" ref="F11" si="8">E11/1.73</f>
        <v>1.1879046352060342E-2</v>
      </c>
      <c r="I11" t="s">
        <v>10</v>
      </c>
      <c r="J11" s="1">
        <f>D8</f>
        <v>0.11566666666666665</v>
      </c>
      <c r="K11">
        <f>E8</f>
        <v>7.5718777944003635E-3</v>
      </c>
    </row>
    <row r="12" spans="1:11">
      <c r="A12">
        <v>4</v>
      </c>
      <c r="B12">
        <v>2</v>
      </c>
      <c r="C12">
        <v>0.129</v>
      </c>
      <c r="D12" s="6"/>
      <c r="E12" s="6"/>
      <c r="F12" s="7"/>
      <c r="I12" t="s">
        <v>11</v>
      </c>
      <c r="J12" s="1">
        <f>D11</f>
        <v>0.13066666666666668</v>
      </c>
      <c r="K12">
        <f>E11</f>
        <v>2.0550750189064392E-2</v>
      </c>
    </row>
    <row r="13" spans="1:11">
      <c r="A13">
        <v>4</v>
      </c>
      <c r="B13">
        <v>3</v>
      </c>
      <c r="C13">
        <v>0.111</v>
      </c>
      <c r="D13" s="6"/>
      <c r="E13" s="6"/>
      <c r="F13" s="7"/>
      <c r="I13" t="s">
        <v>12</v>
      </c>
      <c r="J13" s="1">
        <f>D14</f>
        <v>0.16033333333333333</v>
      </c>
      <c r="K13">
        <f>E14</f>
        <v>2.7227437142216249E-2</v>
      </c>
    </row>
    <row r="14" spans="1:11">
      <c r="A14">
        <v>5</v>
      </c>
      <c r="B14">
        <v>1</v>
      </c>
      <c r="C14">
        <v>0.191</v>
      </c>
      <c r="D14" s="6">
        <f t="shared" ref="D14" si="9">AVERAGE(C14:C16)</f>
        <v>0.16033333333333333</v>
      </c>
      <c r="E14" s="6">
        <f t="shared" ref="E14" si="10">STDEV(C14:C16)</f>
        <v>2.7227437142216249E-2</v>
      </c>
      <c r="F14" s="7">
        <f t="shared" ref="F14" si="11">E14/1.73</f>
        <v>1.5738402972379335E-2</v>
      </c>
    </row>
    <row r="15" spans="1:11">
      <c r="A15">
        <v>5</v>
      </c>
      <c r="B15">
        <v>2</v>
      </c>
      <c r="C15">
        <v>0.13900000000000001</v>
      </c>
      <c r="D15" s="6"/>
      <c r="E15" s="6"/>
      <c r="F15" s="7"/>
    </row>
    <row r="16" spans="1:11">
      <c r="A16">
        <v>5</v>
      </c>
      <c r="B16">
        <v>3</v>
      </c>
      <c r="C16">
        <v>0.151</v>
      </c>
      <c r="D16" s="6"/>
      <c r="E16" s="6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62B9-E4A7-4D06-8781-56D58217A609}">
  <dimension ref="A1:K16"/>
  <sheetViews>
    <sheetView zoomScale="83" zoomScaleNormal="115" workbookViewId="0">
      <selection activeCell="M4" sqref="M4"/>
    </sheetView>
  </sheetViews>
  <sheetFormatPr defaultRowHeight="14"/>
  <cols>
    <col min="1" max="1" width="10.58203125" bestFit="1" customWidth="1"/>
    <col min="2" max="2" width="11.6640625" bestFit="1" customWidth="1"/>
  </cols>
  <sheetData>
    <row r="1" spans="1:11">
      <c r="A1" t="s">
        <v>0</v>
      </c>
      <c r="B1" t="s">
        <v>1</v>
      </c>
      <c r="C1" t="s">
        <v>28</v>
      </c>
      <c r="D1" t="s">
        <v>4</v>
      </c>
      <c r="E1" t="s">
        <v>3</v>
      </c>
      <c r="F1" t="s">
        <v>5</v>
      </c>
    </row>
    <row r="2" spans="1:11">
      <c r="A2">
        <v>1</v>
      </c>
      <c r="B2">
        <v>1</v>
      </c>
      <c r="C2">
        <v>1.4999999999999999E-2</v>
      </c>
      <c r="D2" s="8">
        <f>AVERAGE(C2:C4)</f>
        <v>1.4999999999999999E-2</v>
      </c>
      <c r="E2" s="8">
        <f>STDEV(C2:C4)</f>
        <v>5.000000000000001E-3</v>
      </c>
      <c r="F2" s="7">
        <f>E2/1.73</f>
        <v>2.890173410404625E-3</v>
      </c>
    </row>
    <row r="3" spans="1:11">
      <c r="A3">
        <v>1</v>
      </c>
      <c r="B3">
        <v>2</v>
      </c>
      <c r="C3">
        <v>0.01</v>
      </c>
      <c r="D3" s="8"/>
      <c r="E3" s="8"/>
      <c r="F3" s="7"/>
    </row>
    <row r="4" spans="1:11">
      <c r="A4">
        <v>1</v>
      </c>
      <c r="B4">
        <v>3</v>
      </c>
      <c r="C4">
        <v>0.02</v>
      </c>
      <c r="D4" s="8"/>
      <c r="E4" s="8"/>
      <c r="F4" s="7"/>
    </row>
    <row r="5" spans="1:11">
      <c r="A5">
        <v>2</v>
      </c>
      <c r="B5">
        <v>1</v>
      </c>
      <c r="C5">
        <v>3.2000000000000001E-2</v>
      </c>
      <c r="D5" s="8">
        <f t="shared" ref="D5" si="0">AVERAGE(C5:C7)</f>
        <v>3.8666666666666669E-2</v>
      </c>
      <c r="E5" s="8">
        <f t="shared" ref="E5" si="1">STDEV(C5:C7)</f>
        <v>6.1101009266077855E-3</v>
      </c>
      <c r="F5" s="7">
        <f t="shared" ref="F5" si="2">E5/1.73</f>
        <v>3.5318502465940958E-3</v>
      </c>
    </row>
    <row r="6" spans="1:11">
      <c r="A6">
        <v>2</v>
      </c>
      <c r="B6">
        <v>2</v>
      </c>
      <c r="C6">
        <v>0.04</v>
      </c>
      <c r="D6" s="8"/>
      <c r="E6" s="8"/>
      <c r="F6" s="7"/>
    </row>
    <row r="7" spans="1:11">
      <c r="A7">
        <v>2</v>
      </c>
      <c r="B7">
        <v>3</v>
      </c>
      <c r="C7">
        <v>4.3999999999999997E-2</v>
      </c>
      <c r="D7" s="8"/>
      <c r="E7" s="8"/>
      <c r="F7" s="7"/>
    </row>
    <row r="8" spans="1:11" ht="19.5" customHeight="1">
      <c r="A8">
        <v>3</v>
      </c>
      <c r="B8">
        <v>1</v>
      </c>
      <c r="C8">
        <v>0.14000000000000001</v>
      </c>
      <c r="D8" s="8">
        <f t="shared" ref="D8" si="3">AVERAGE(C8:C10)</f>
        <v>0.14233333333333334</v>
      </c>
      <c r="E8" s="8">
        <f t="shared" ref="E8" si="4">STDEV(C8:C10)</f>
        <v>7.76745346515402E-3</v>
      </c>
      <c r="F8" s="7">
        <f t="shared" ref="F8" si="5">E8/1.73</f>
        <v>4.4898574943086824E-3</v>
      </c>
      <c r="I8" t="s">
        <v>0</v>
      </c>
      <c r="J8" t="s">
        <v>28</v>
      </c>
    </row>
    <row r="9" spans="1:11">
      <c r="A9">
        <v>3</v>
      </c>
      <c r="B9">
        <v>2</v>
      </c>
      <c r="C9">
        <v>0.151</v>
      </c>
      <c r="D9" s="8"/>
      <c r="E9" s="8"/>
      <c r="F9" s="7"/>
      <c r="I9" t="s">
        <v>6</v>
      </c>
      <c r="J9" s="5">
        <f>D2</f>
        <v>1.4999999999999999E-2</v>
      </c>
      <c r="K9">
        <f>E2</f>
        <v>5.000000000000001E-3</v>
      </c>
    </row>
    <row r="10" spans="1:11">
      <c r="A10">
        <v>3</v>
      </c>
      <c r="B10">
        <v>3</v>
      </c>
      <c r="C10">
        <v>0.13600000000000001</v>
      </c>
      <c r="D10" s="8"/>
      <c r="E10" s="8"/>
      <c r="F10" s="7"/>
      <c r="I10" t="s">
        <v>9</v>
      </c>
      <c r="J10" s="5">
        <f>D5</f>
        <v>3.8666666666666669E-2</v>
      </c>
      <c r="K10">
        <f>E5</f>
        <v>6.1101009266077855E-3</v>
      </c>
    </row>
    <row r="11" spans="1:11">
      <c r="A11">
        <v>4</v>
      </c>
      <c r="B11">
        <v>1</v>
      </c>
      <c r="C11">
        <v>0.125</v>
      </c>
      <c r="D11" s="8">
        <f t="shared" ref="D11" si="6">AVERAGE(C11:C13)</f>
        <v>0.11833333333333333</v>
      </c>
      <c r="E11" s="8">
        <f t="shared" ref="E11" si="7">STDEV(C11:C13)</f>
        <v>7.6376261582597324E-3</v>
      </c>
      <c r="F11" s="7">
        <f t="shared" ref="F11" si="8">E11/1.73</f>
        <v>4.4148128082426201E-3</v>
      </c>
      <c r="I11" t="s">
        <v>10</v>
      </c>
      <c r="J11" s="5">
        <f>D8</f>
        <v>0.14233333333333334</v>
      </c>
      <c r="K11">
        <f>E8</f>
        <v>7.76745346515402E-3</v>
      </c>
    </row>
    <row r="12" spans="1:11">
      <c r="A12">
        <v>4</v>
      </c>
      <c r="B12">
        <v>2</v>
      </c>
      <c r="C12">
        <v>0.11</v>
      </c>
      <c r="D12" s="8"/>
      <c r="E12" s="8"/>
      <c r="F12" s="7"/>
      <c r="I12" t="s">
        <v>11</v>
      </c>
      <c r="J12" s="5">
        <f>D11</f>
        <v>0.11833333333333333</v>
      </c>
      <c r="K12">
        <f>E11</f>
        <v>7.6376261582597324E-3</v>
      </c>
    </row>
    <row r="13" spans="1:11">
      <c r="A13">
        <v>4</v>
      </c>
      <c r="B13">
        <v>3</v>
      </c>
      <c r="C13">
        <v>0.12</v>
      </c>
      <c r="D13" s="8"/>
      <c r="E13" s="8"/>
      <c r="F13" s="7"/>
      <c r="I13" t="s">
        <v>12</v>
      </c>
      <c r="J13" s="5">
        <f>D14</f>
        <v>0.19033333333333333</v>
      </c>
      <c r="K13">
        <f>E14</f>
        <v>7.2341781380702418E-3</v>
      </c>
    </row>
    <row r="14" spans="1:11">
      <c r="A14">
        <v>5</v>
      </c>
      <c r="B14">
        <v>1</v>
      </c>
      <c r="C14">
        <v>0.19500000000000001</v>
      </c>
      <c r="D14" s="8">
        <f t="shared" ref="D14" si="9">AVERAGE(C14:C16)</f>
        <v>0.19033333333333333</v>
      </c>
      <c r="E14" s="8">
        <f t="shared" ref="E14" si="10">STDEV(C14:C16)</f>
        <v>7.2341781380702418E-3</v>
      </c>
      <c r="F14" s="7">
        <f t="shared" ref="F14" si="11">E14/1.73</f>
        <v>4.181605860156209E-3</v>
      </c>
    </row>
    <row r="15" spans="1:11">
      <c r="A15">
        <v>5</v>
      </c>
      <c r="B15">
        <v>2</v>
      </c>
      <c r="C15">
        <v>0.19400000000000001</v>
      </c>
      <c r="D15" s="8"/>
      <c r="E15" s="8"/>
      <c r="F15" s="7"/>
    </row>
    <row r="16" spans="1:11">
      <c r="A16">
        <v>5</v>
      </c>
      <c r="B16">
        <v>3</v>
      </c>
      <c r="C16">
        <v>0.182</v>
      </c>
      <c r="D16" s="8"/>
      <c r="E16" s="8"/>
      <c r="F16" s="7"/>
    </row>
  </sheetData>
  <mergeCells count="15">
    <mergeCell ref="D14:D16"/>
    <mergeCell ref="E14:E16"/>
    <mergeCell ref="F14:F16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Plant Height</vt:lpstr>
      <vt:lpstr>Dry shoot weight</vt:lpstr>
      <vt:lpstr>Fresh Shoot Weight</vt:lpstr>
      <vt:lpstr>Root Fresh weight</vt:lpstr>
      <vt:lpstr>Root Dry weight</vt:lpstr>
      <vt:lpstr>Pod Fresh weight</vt:lpstr>
      <vt:lpstr>Pod Dry weight </vt:lpstr>
      <vt:lpstr>Pods per Plant</vt:lpstr>
      <vt:lpstr>No. of grains per pod</vt:lpstr>
      <vt:lpstr>Pod Lenght</vt:lpstr>
      <vt:lpstr>Grain K %</vt:lpstr>
      <vt:lpstr>Plant K %</vt:lpstr>
      <vt:lpstr>Plant N %</vt:lpstr>
      <vt:lpstr>Grain N %</vt:lpstr>
      <vt:lpstr>Plant P %</vt:lpstr>
      <vt:lpstr>Grain P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Mahmood</dc:creator>
  <cp:lastModifiedBy>PMYLS</cp:lastModifiedBy>
  <dcterms:created xsi:type="dcterms:W3CDTF">2024-09-11T05:48:49Z</dcterms:created>
  <dcterms:modified xsi:type="dcterms:W3CDTF">2026-08-04T18:30:02Z</dcterms:modified>
</cp:coreProperties>
</file>